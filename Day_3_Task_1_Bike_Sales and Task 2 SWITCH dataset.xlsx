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B21F158D-1291-2C40-B2E8-653BED19F4F8}" xr6:coauthVersionLast="47" xr6:coauthVersionMax="47" xr10:uidLastSave="{00000000-0000-0000-0000-000000000000}"/>
  <bookViews>
    <workbookView xWindow="-1060" yWindow="1760" windowWidth="28800" windowHeight="15980" xr2:uid="{00000000-000D-0000-FFFF-FFFF00000000}"/>
  </bookViews>
  <sheets>
    <sheet name="Bike Sales" sheetId="1" r:id="rId1"/>
    <sheet name="Sheet1" sheetId="3" r:id="rId2"/>
    <sheet name="SWITCH etc." sheetId="2" r:id="rId3"/>
  </sheets>
  <calcPr calcId="191028"/>
  <pivotCaches>
    <pivotCache cacheId="3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D3" i="2" a="1"/>
  <c r="D3" i="2"/>
  <c r="D4" i="2" a="1"/>
  <c r="D4" i="2" s="1"/>
  <c r="D5" i="2" a="1"/>
  <c r="D5" i="2"/>
  <c r="D6" i="2" a="1"/>
  <c r="D6" i="2" s="1"/>
  <c r="D7" i="2" a="1"/>
  <c r="D7" i="2"/>
  <c r="D8" i="2" a="1"/>
  <c r="D8" i="2" s="1"/>
  <c r="D9" i="2" a="1"/>
  <c r="D9" i="2"/>
  <c r="D10" i="2" a="1"/>
  <c r="D10" i="2" s="1"/>
  <c r="D11" i="2" a="1"/>
  <c r="D11" i="2"/>
  <c r="D12" i="2" a="1"/>
  <c r="D12" i="2" s="1"/>
  <c r="D13" i="2" a="1"/>
  <c r="D13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<sst xmlns="http://schemas.openxmlformats.org/spreadsheetml/2006/main" count="859" uniqueCount="176">
  <si>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</si>
  <si>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</si>
  <si>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</si>
  <si>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</si>
  <si>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</si>
  <si>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</si>
  <si>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</si>
  <si>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</si>
  <si>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</si>
  <si>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</si>
  <si>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</si>
  <si>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</si>
  <si>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</si>
  <si>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</si>
  <si>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</si>
  <si>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</si>
  <si>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</si>
  <si>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</si>
  <si>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</si>
  <si>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</si>
  <si>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</si>
  <si>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</si>
  <si>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</si>
  <si>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</si>
  <si>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</si>
  <si>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</si>
  <si>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</si>
  <si>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</si>
  <si>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</si>
  <si>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</si>
  <si>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</si>
  <si>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</si>
  <si>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</si>
  <si>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</si>
  <si>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</si>
  <si>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</si>
  <si>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</si>
  <si>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</si>
  <si>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</si>
  <si>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</si>
  <si>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</si>
  <si>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</si>
  <si>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</si>
  <si>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</si>
  <si>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</si>
  <si>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</si>
  <si>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</si>
  <si>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</si>
  <si>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</si>
  <si>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</si>
  <si>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</si>
  <si>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</si>
  <si>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</si>
  <si>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</si>
  <si>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</si>
  <si>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</si>
  <si>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</si>
  <si>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</si>
  <si>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</si>
  <si>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</si>
  <si>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</si>
  <si>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</si>
  <si>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</si>
  <si>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</si>
  <si>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</si>
  <si>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</si>
  <si>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</si>
  <si>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</si>
  <si>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</si>
  <si>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</si>
  <si>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</si>
  <si>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</si>
  <si>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</si>
  <si>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</si>
  <si>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</si>
  <si>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</si>
  <si>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</si>
  <si>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</si>
  <si>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</si>
  <si>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</si>
  <si>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</si>
  <si>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</si>
  <si>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</si>
  <si>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</si>
  <si>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</si>
  <si>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</si>
  <si>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</si>
  <si>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</si>
  <si>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</si>
  <si>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</si>
  <si>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</si>
  <si>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</si>
  <si>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</si>
  <si>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</si>
  <si>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</si>
  <si>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</si>
  <si>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</si>
  <si>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</si>
  <si>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</si>
  <si>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</si>
  <si>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</si>
  <si>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</si>
  <si>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</si>
  <si>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</si>
  <si>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</si>
  <si>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</si>
  <si>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</si>
  <si>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</si>
  <si>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</si>
  <si>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</si>
  <si>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</si>
  <si>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</si>
  <si>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</si>
  <si>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</si>
  <si>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</si>
  <si>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</si>
  <si>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</si>
  <si>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</si>
  <si>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</si>
  <si>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</si>
  <si>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</si>
  <si>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</si>
  <si>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</si>
  <si>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</si>
  <si>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</si>
  <si>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</si>
  <si>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</si>
  <si>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</si>
  <si>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</si>
  <si>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</si>
  <si>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</si>
  <si>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</si>
  <si>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</si>
  <si>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</si>
  <si>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</si>
  <si>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</si>
  <si>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</si>
  <si>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</si>
  <si>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</si>
  <si>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</si>
  <si>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</si>
  <si>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</si>
  <si>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</si>
  <si>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</si>
  <si>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</si>
  <si>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</si>
  <si>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</si>
  <si>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</si>
  <si>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</si>
  <si>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</si>
  <si>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</si>
  <si>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</si>
  <si>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</si>
  <si>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</si>
  <si>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</si>
  <si>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</si>
  <si>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</si>
  <si>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</si>
  <si>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</si>
  <si>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</si>
  <si>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</si>
  <si>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</si>
  <si>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</si>
  <si>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</si>
  <si>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</si>
  <si>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</si>
  <si>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</si>
  <si>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</si>
  <si>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</si>
  <si>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</si>
  <si>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Row Labels</t>
  </si>
  <si>
    <t>Grand Total</t>
  </si>
  <si>
    <t>Column Labels</t>
  </si>
  <si>
    <t>Sum of Sales Volume</t>
  </si>
  <si>
    <t>Category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</si>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</sst>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8" formatCode="&quot;£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2" fillId="0" borderId="10" xfId="0" applyFont="1" applyBorder="1" applyAlignment="1">
      <alignment vertical="center" wrapText="1"/>
    </xf>
    <xf numFmtId="1" fontId="22" fillId="0" borderId="11" xfId="0" applyNumberFormat="1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1" fontId="22" fillId="0" borderId="0" xfId="0" applyNumberFormat="1" applyFont="1" applyAlignment="1">
      <alignment vertical="center" wrapText="1"/>
    </xf>
    <xf numFmtId="0" fontId="0" fillId="0" borderId="11" xfId="0" applyBorder="1"/>
    <xf numFmtId="0" fontId="0" fillId="0" borderId="0" xfId="0" pivotButton="1"/>
    <xf numFmtId="1" fontId="0" fillId="0" borderId="0" xfId="0" applyNumberFormat="1"/>
    <xf numFmtId="2" fontId="23" fillId="0" borderId="0" xfId="0" applyNumberFormat="1" applyFont="1"/>
    <xf numFmtId="2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68" formatCode="&quot;£&quot;#,##0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border outline="0">
        <bottom style="medium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dataset.xlsx]Sheet1!PivotTable4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Sheet1!$B$4:$B$7</c:f>
              <c:numCache>
                <c:formatCode>"£"#,##0</c:formatCode>
                <c:ptCount val="3"/>
                <c:pt idx="0">
                  <c:v>206256</c:v>
                </c:pt>
                <c:pt idx="1">
                  <c:v>119646</c:v>
                </c:pt>
                <c:pt idx="2">
                  <c:v>35330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6-5548-90DF-EB94F9EB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38125056"/>
        <c:axId val="238126848"/>
      </c:barChart>
      <c:catAx>
        <c:axId val="23812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26848"/>
        <c:crosses val="autoZero"/>
        <c:auto val="1"/>
        <c:lblAlgn val="ctr"/>
        <c:lblOffset val="100"/>
        <c:noMultiLvlLbl val="0"/>
      </c:catAx>
      <c:valAx>
        <c:axId val="23812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2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97374432291529"/>
          <c:y val="0.51959463400408279"/>
          <c:w val="0.12254843997742602"/>
          <c:h val="0.160301472732575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 and Task 2 SWITCH dataset.xlsx]Sheet1!PivotTable4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Comparison per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733770778652673"/>
          <c:y val="0.18097222222222226"/>
          <c:w val="0.46641666666666665"/>
          <c:h val="0.77736111111111106"/>
        </c:manualLayout>
      </c:layout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Sheet1!$B$4:$B$7</c:f>
              <c:numCache>
                <c:formatCode>"£"#,##0</c:formatCode>
                <c:ptCount val="3"/>
                <c:pt idx="0">
                  <c:v>206256</c:v>
                </c:pt>
                <c:pt idx="1">
                  <c:v>119646</c:v>
                </c:pt>
                <c:pt idx="2">
                  <c:v>35330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5-534F-B0FA-BC04478127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69850</xdr:rowOff>
    </xdr:from>
    <xdr:to>
      <xdr:col>4</xdr:col>
      <xdr:colOff>152400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E3705-D2BA-E006-939F-EE0E7AB63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184150</xdr:rowOff>
    </xdr:from>
    <xdr:to>
      <xdr:col>12</xdr:col>
      <xdr:colOff>0</xdr:colOff>
      <xdr:row>21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A33A09-7977-9914-4B18-F1B64B63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" refreshedDate="46218.580591319442" createdVersion="8" refreshedVersion="8" minRefreshableVersion="3" recordCount="88" xr:uid="{38F26DEE-A9BB-5D4F-B652-9D4171F0A973}">
  <cacheSource type="worksheet">
    <worksheetSource name="Table2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 count="7">
        <n v="2295"/>
        <n v="2320"/>
        <n v="769"/>
        <n v="565"/>
        <n v="540"/>
        <n v="3375"/>
        <n v="3400"/>
      </sharedItems>
    </cacheField>
    <cacheField name=" Profit " numFmtId="164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 count="21">
        <n v="9180"/>
        <n v="2320"/>
        <n v="1538"/>
        <n v="769"/>
        <n v="4590"/>
        <n v="2295"/>
        <n v="3076"/>
        <n v="2307"/>
        <n v="4640"/>
        <n v="2260"/>
        <n v="9280"/>
        <n v="540"/>
        <n v="6750"/>
        <n v="3400"/>
        <n v="6885"/>
        <n v="6960"/>
        <n v="565"/>
        <n v="2160"/>
        <n v="13500"/>
        <n v="1080"/>
        <n v="16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" refreshedDate="46218.648054398145" createdVersion="8" refreshedVersion="8" minRefreshableVersion="3" recordCount="12" xr:uid="{6B325D37-7ED9-4246-878C-073545E9DFB6}">
  <cacheSource type="worksheet">
    <worksheetSource name="BikeSales"/>
  </cacheSource>
  <cacheFields count="4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1">
      <sharedItems containsSemiMixedTypes="0" containsString="0" containsNumber="1" containsInteger="1" minValue="150" maxValue="800"/>
    </cacheField>
    <cacheField name="Product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x v="0"/>
    <x v="0"/>
    <x v="0"/>
    <s v="Mountain-200 Black, 46"/>
    <x v="0"/>
    <n v="1252"/>
    <x v="0"/>
    <x v="0"/>
    <n v="5008"/>
    <x v="0"/>
  </r>
  <r>
    <s v="000261695"/>
    <d v="2021-12-01T00:00:00"/>
    <n v="1"/>
    <s v="December"/>
    <x v="0"/>
    <n v="44"/>
    <x v="0"/>
    <x v="1"/>
    <x v="1"/>
    <x v="1"/>
    <x v="0"/>
    <x v="0"/>
    <s v="Mountain-200 Silver, 42"/>
    <x v="1"/>
    <n v="1266"/>
    <x v="1"/>
    <x v="1"/>
    <n v="1266"/>
    <x v="1"/>
  </r>
  <r>
    <s v="000261697"/>
    <d v="2021-12-02T00:00:00"/>
    <n v="2"/>
    <s v="December"/>
    <x v="0"/>
    <n v="37"/>
    <x v="0"/>
    <x v="1"/>
    <x v="0"/>
    <x v="0"/>
    <x v="0"/>
    <x v="0"/>
    <s v="Mountain-400-W Silver, 46"/>
    <x v="2"/>
    <n v="420"/>
    <x v="2"/>
    <x v="2"/>
    <n v="840"/>
    <x v="2"/>
  </r>
  <r>
    <s v="000261698"/>
    <d v="2021-12-02T00:00:00"/>
    <n v="2"/>
    <s v="December"/>
    <x v="0"/>
    <n v="31"/>
    <x v="1"/>
    <x v="0"/>
    <x v="2"/>
    <x v="2"/>
    <x v="0"/>
    <x v="0"/>
    <s v="Mountain-400-W Silver, 42"/>
    <x v="1"/>
    <n v="420"/>
    <x v="2"/>
    <x v="3"/>
    <n v="420"/>
    <x v="3"/>
  </r>
  <r>
    <s v="000261699"/>
    <d v="2021-12-03T00:00:00"/>
    <n v="3"/>
    <s v="December"/>
    <x v="0"/>
    <n v="37"/>
    <x v="0"/>
    <x v="0"/>
    <x v="3"/>
    <x v="0"/>
    <x v="0"/>
    <x v="0"/>
    <s v="Mountain-200 Black, 46"/>
    <x v="2"/>
    <n v="1252"/>
    <x v="0"/>
    <x v="4"/>
    <n v="2504"/>
    <x v="4"/>
  </r>
  <r>
    <s v="000261700"/>
    <d v="2021-12-03T00:00:00"/>
    <n v="3"/>
    <s v="December"/>
    <x v="0"/>
    <n v="24"/>
    <x v="2"/>
    <x v="0"/>
    <x v="1"/>
    <x v="1"/>
    <x v="0"/>
    <x v="0"/>
    <s v="Mountain-200 Black, 38"/>
    <x v="1"/>
    <n v="1252"/>
    <x v="0"/>
    <x v="5"/>
    <n v="1252"/>
    <x v="5"/>
  </r>
  <r>
    <s v="000261701"/>
    <d v="2021-12-03T00:00:00"/>
    <n v="3"/>
    <s v="December"/>
    <x v="0"/>
    <n v="37"/>
    <x v="0"/>
    <x v="1"/>
    <x v="4"/>
    <x v="3"/>
    <x v="0"/>
    <x v="0"/>
    <s v="Mountain-200 Black, 46"/>
    <x v="1"/>
    <n v="1252"/>
    <x v="0"/>
    <x v="5"/>
    <n v="1252"/>
    <x v="5"/>
  </r>
  <r>
    <s v="000261702"/>
    <d v="2021-12-04T00:00:00"/>
    <n v="4"/>
    <s v="December"/>
    <x v="0"/>
    <n v="31"/>
    <x v="1"/>
    <x v="0"/>
    <x v="2"/>
    <x v="2"/>
    <x v="0"/>
    <x v="0"/>
    <s v="Mountain-400-W Silver, 42"/>
    <x v="0"/>
    <n v="420"/>
    <x v="2"/>
    <x v="6"/>
    <n v="1680"/>
    <x v="6"/>
  </r>
  <r>
    <s v="000261703"/>
    <d v="2021-12-05T00:00:00"/>
    <n v="5"/>
    <s v="December"/>
    <x v="0"/>
    <n v="39"/>
    <x v="0"/>
    <x v="0"/>
    <x v="0"/>
    <x v="0"/>
    <x v="0"/>
    <x v="0"/>
    <s v="Mountain-200 Black, 46"/>
    <x v="0"/>
    <n v="1252"/>
    <x v="0"/>
    <x v="0"/>
    <n v="5008"/>
    <x v="0"/>
  </r>
  <r>
    <s v="000261704"/>
    <d v="2021-12-05T00:00:00"/>
    <m/>
    <s v="December"/>
    <x v="0"/>
    <n v="42"/>
    <x v="0"/>
    <x v="1"/>
    <x v="5"/>
    <x v="4"/>
    <x v="0"/>
    <x v="0"/>
    <s v="Mountain-200 Black, 38"/>
    <x v="0"/>
    <n v="1252"/>
    <x v="0"/>
    <x v="0"/>
    <n v="5008"/>
    <x v="0"/>
  </r>
  <r>
    <s v="000261705"/>
    <d v="2021-12-05T00:00:00"/>
    <n v="5"/>
    <s v="December"/>
    <x v="0"/>
    <n v="35"/>
    <x v="0"/>
    <x v="0"/>
    <x v="2"/>
    <x v="5"/>
    <x v="0"/>
    <x v="0"/>
    <s v="Mountain-200 Silver, 38"/>
    <x v="1"/>
    <n v="1266"/>
    <x v="1"/>
    <x v="1"/>
    <n v="1266"/>
    <x v="1"/>
  </r>
  <r>
    <s v="000261706"/>
    <d v="2021-12-05T00:00:00"/>
    <n v="5"/>
    <s v="December"/>
    <x v="0"/>
    <n v="37"/>
    <x v="0"/>
    <x v="0"/>
    <x v="0"/>
    <x v="0"/>
    <x v="0"/>
    <x v="0"/>
    <s v="Mountain-200 Black, 46"/>
    <x v="1"/>
    <n v="1252"/>
    <x v="0"/>
    <x v="5"/>
    <n v="1252"/>
    <x v="5"/>
  </r>
  <r>
    <s v="000261707"/>
    <d v="2021-12-06T00:00:00"/>
    <n v="6"/>
    <s v="December"/>
    <x v="0"/>
    <n v="23"/>
    <x v="2"/>
    <x v="1"/>
    <x v="1"/>
    <x v="1"/>
    <x v="0"/>
    <x v="0"/>
    <s v="Mountain-400-W Silver, 46"/>
    <x v="3"/>
    <n v="420"/>
    <x v="2"/>
    <x v="7"/>
    <n v="1260"/>
    <x v="7"/>
  </r>
  <r>
    <s v="000261708"/>
    <d v="2021-12-06T00:00:00"/>
    <n v="6"/>
    <s v="December"/>
    <x v="0"/>
    <n v="27"/>
    <x v="1"/>
    <x v="1"/>
    <x v="6"/>
    <x v="6"/>
    <x v="0"/>
    <x v="0"/>
    <s v="Mountain-200 Black, 46"/>
    <x v="1"/>
    <n v="1252"/>
    <x v="0"/>
    <x v="5"/>
    <n v="1252"/>
    <x v="5"/>
  </r>
  <r>
    <s v="000261709"/>
    <d v="2021-12-06T00:00:00"/>
    <n v="6"/>
    <s v="December"/>
    <x v="0"/>
    <n v="36"/>
    <x v="0"/>
    <x v="1"/>
    <x v="2"/>
    <x v="2"/>
    <x v="0"/>
    <x v="0"/>
    <s v="Mountain-200 Black, 42"/>
    <x v="1"/>
    <n v="1252"/>
    <x v="0"/>
    <x v="5"/>
    <n v="1252"/>
    <x v="5"/>
  </r>
  <r>
    <s v="000261710"/>
    <d v="2021-12-06T00:00:00"/>
    <n v="6"/>
    <s v="December"/>
    <x v="0"/>
    <n v="47"/>
    <x v="0"/>
    <x v="1"/>
    <x v="1"/>
    <x v="1"/>
    <x v="0"/>
    <x v="0"/>
    <s v="Mountain-200 Silver, 38"/>
    <x v="1"/>
    <n v="1266"/>
    <x v="1"/>
    <x v="1"/>
    <n v="1266"/>
    <x v="1"/>
  </r>
  <r>
    <s v="000261711"/>
    <d v="2021-12-07T00:00:00"/>
    <n v="7"/>
    <s v="December"/>
    <x v="0"/>
    <n v="30"/>
    <x v="1"/>
    <x v="1"/>
    <x v="0"/>
    <x v="0"/>
    <x v="0"/>
    <x v="0"/>
    <s v="Mountain-400-W Silver, 38"/>
    <x v="0"/>
    <n v="420"/>
    <x v="2"/>
    <x v="6"/>
    <n v="1680"/>
    <x v="6"/>
  </r>
  <r>
    <s v="000261712"/>
    <d v="2021-12-07T00:00:00"/>
    <n v="7"/>
    <s v="December"/>
    <x v="0"/>
    <n v="38"/>
    <x v="0"/>
    <x v="1"/>
    <x v="0"/>
    <x v="0"/>
    <x v="0"/>
    <x v="0"/>
    <s v="Mountain-200 Silver, 42"/>
    <x v="2"/>
    <n v="1266"/>
    <x v="1"/>
    <x v="8"/>
    <n v="2532"/>
    <x v="8"/>
  </r>
  <r>
    <s v="000261713"/>
    <d v="2021-12-08T00:00:00"/>
    <n v="8"/>
    <s v="December"/>
    <x v="0"/>
    <n v="19"/>
    <x v="2"/>
    <x v="0"/>
    <x v="2"/>
    <x v="2"/>
    <x v="0"/>
    <x v="0"/>
    <s v="Mountain-500 Silver, 42"/>
    <x v="0"/>
    <n v="308"/>
    <x v="3"/>
    <x v="9"/>
    <n v="1232"/>
    <x v="9"/>
  </r>
  <r>
    <s v="000261714"/>
    <d v="2021-12-08T00:00:00"/>
    <n v="8"/>
    <s v="December"/>
    <x v="0"/>
    <n v="30"/>
    <x v="1"/>
    <x v="0"/>
    <x v="6"/>
    <x v="6"/>
    <x v="0"/>
    <x v="0"/>
    <s v="Mountain-200 Silver, 38"/>
    <x v="0"/>
    <n v="1266"/>
    <x v="1"/>
    <x v="10"/>
    <n v="5064"/>
    <x v="10"/>
  </r>
  <r>
    <s v="000261715"/>
    <d v="2021-12-08T00:00:00"/>
    <n v="8"/>
    <s v="December"/>
    <x v="0"/>
    <n v="39"/>
    <x v="0"/>
    <x v="0"/>
    <x v="0"/>
    <x v="7"/>
    <x v="0"/>
    <x v="0"/>
    <s v="Mountain-500 Black, 42"/>
    <x v="2"/>
    <n v="1252"/>
    <x v="0"/>
    <x v="4"/>
    <n v="2504"/>
    <x v="4"/>
  </r>
  <r>
    <s v="000261716"/>
    <d v="2021-12-08T00:00:00"/>
    <n v="8"/>
    <s v="December"/>
    <x v="0"/>
    <n v="35"/>
    <x v="0"/>
    <x v="0"/>
    <x v="0"/>
    <x v="0"/>
    <x v="0"/>
    <x v="0"/>
    <s v="Mountain-500 Black, 42"/>
    <x v="1"/>
    <n v="295"/>
    <x v="4"/>
    <x v="11"/>
    <n v="295"/>
    <x v="11"/>
  </r>
  <r>
    <s v="000261717"/>
    <d v="2021-12-09T00:00:00"/>
    <n v="9"/>
    <s v="December"/>
    <x v="0"/>
    <n v="33"/>
    <x v="1"/>
    <x v="0"/>
    <x v="2"/>
    <x v="8"/>
    <x v="0"/>
    <x v="0"/>
    <s v="Mountain-100 Black, 38"/>
    <x v="2"/>
    <n v="1898"/>
    <x v="5"/>
    <x v="12"/>
    <n v="3796"/>
    <x v="12"/>
  </r>
  <r>
    <s v="000261718"/>
    <d v="2021-12-09T00:00:00"/>
    <n v="9"/>
    <s v="December"/>
    <x v="0"/>
    <n v="41"/>
    <x v="0"/>
    <x v="0"/>
    <x v="5"/>
    <x v="9"/>
    <x v="0"/>
    <x v="0"/>
    <s v="Mountain-200 Silver, 42"/>
    <x v="1"/>
    <n v="1266"/>
    <x v="1"/>
    <x v="1"/>
    <n v="1266"/>
    <x v="1"/>
  </r>
  <r>
    <s v="000261719"/>
    <d v="2021-12-10T00:00:00"/>
    <n v="10"/>
    <s v="December"/>
    <x v="0"/>
    <n v="34"/>
    <x v="1"/>
    <x v="0"/>
    <x v="0"/>
    <x v="0"/>
    <x v="0"/>
    <x v="0"/>
    <s v="Mountain-200 Black, 42"/>
    <x v="2"/>
    <n v="1252"/>
    <x v="0"/>
    <x v="4"/>
    <n v="2504"/>
    <x v="4"/>
  </r>
  <r>
    <s v="000261720"/>
    <d v="2021-12-10T00:00:00"/>
    <n v="10"/>
    <s v="December"/>
    <x v="0"/>
    <n v="40"/>
    <x v="0"/>
    <x v="1"/>
    <x v="2"/>
    <x v="2"/>
    <x v="0"/>
    <x v="0"/>
    <s v="Mountain-200 Black, 42"/>
    <x v="2"/>
    <n v="1252"/>
    <x v="0"/>
    <x v="4"/>
    <n v="2504"/>
    <x v="4"/>
  </r>
  <r>
    <s v="000261721"/>
    <d v="2021-12-10T00:00:00"/>
    <n v="10"/>
    <s v="December"/>
    <x v="0"/>
    <n v="26"/>
    <x v="1"/>
    <x v="1"/>
    <x v="1"/>
    <x v="1"/>
    <x v="0"/>
    <x v="0"/>
    <s v="Mountain-200 Black, 38"/>
    <x v="1"/>
    <n v="1252"/>
    <x v="0"/>
    <x v="5"/>
    <n v="1252"/>
    <x v="5"/>
  </r>
  <r>
    <s v="000261722"/>
    <d v="2021-12-10T00:00:00"/>
    <n v="10"/>
    <s v="December"/>
    <x v="0"/>
    <n v="34"/>
    <x v="1"/>
    <x v="1"/>
    <x v="0"/>
    <x v="0"/>
    <x v="0"/>
    <x v="0"/>
    <s v="Mountain-500 Black, 40"/>
    <x v="1"/>
    <n v="295"/>
    <x v="4"/>
    <x v="11"/>
    <n v="295"/>
    <x v="11"/>
  </r>
  <r>
    <s v="000261723"/>
    <d v="2021-12-10T00:00:00"/>
    <n v="10"/>
    <s v="December"/>
    <x v="0"/>
    <n v="34"/>
    <x v="1"/>
    <x v="0"/>
    <x v="0"/>
    <x v="3"/>
    <x v="0"/>
    <x v="0"/>
    <s v="Mountain-100 Silver, 44"/>
    <x v="1"/>
    <n v="1912"/>
    <x v="6"/>
    <x v="13"/>
    <n v="1912"/>
    <x v="13"/>
  </r>
  <r>
    <s v="000261724"/>
    <d v="2021-12-10T00:00:00"/>
    <n v="10"/>
    <s v="December"/>
    <x v="0"/>
    <n v="38"/>
    <x v="0"/>
    <x v="1"/>
    <x v="2"/>
    <x v="2"/>
    <x v="0"/>
    <x v="0"/>
    <s v="Mountain-200 Black, 38"/>
    <x v="1"/>
    <n v="1252"/>
    <x v="0"/>
    <x v="5"/>
    <n v="1252"/>
    <x v="5"/>
  </r>
  <r>
    <s v="000261725"/>
    <d v="2021-12-11T00:00:00"/>
    <n v="11"/>
    <s v="December"/>
    <x v="0"/>
    <n v="24"/>
    <x v="2"/>
    <x v="0"/>
    <x v="7"/>
    <x v="10"/>
    <x v="0"/>
    <x v="0"/>
    <s v="Mountain-200 Black, 38"/>
    <x v="3"/>
    <n v="1252"/>
    <x v="0"/>
    <x v="14"/>
    <n v="3756"/>
    <x v="14"/>
  </r>
  <r>
    <s v="000261726"/>
    <d v="2021-12-11T00:00:00"/>
    <n v="11"/>
    <s v="December"/>
    <x v="0"/>
    <n v="41"/>
    <x v="0"/>
    <x v="0"/>
    <x v="2"/>
    <x v="2"/>
    <x v="0"/>
    <x v="0"/>
    <s v="Mountain-400-W Silver, 38"/>
    <x v="2"/>
    <n v="420"/>
    <x v="2"/>
    <x v="2"/>
    <n v="840"/>
    <x v="2"/>
  </r>
  <r>
    <s v="000261727"/>
    <d v="2021-12-11T00:00:00"/>
    <n v="11"/>
    <s v="December"/>
    <x v="0"/>
    <n v="27"/>
    <x v="1"/>
    <x v="1"/>
    <x v="6"/>
    <x v="6"/>
    <x v="0"/>
    <x v="0"/>
    <s v="Mountain-200 Black, 46"/>
    <x v="1"/>
    <n v="1252"/>
    <x v="0"/>
    <x v="5"/>
    <n v="1252"/>
    <x v="5"/>
  </r>
  <r>
    <s v="000261728"/>
    <d v="2021-12-11T00:00:00"/>
    <n v="11"/>
    <s v="December"/>
    <x v="0"/>
    <n v="37"/>
    <x v="0"/>
    <x v="1"/>
    <x v="0"/>
    <x v="0"/>
    <x v="0"/>
    <x v="0"/>
    <s v="Mountain-400-W Silver, 46"/>
    <x v="1"/>
    <n v="420"/>
    <x v="2"/>
    <x v="3"/>
    <n v="420"/>
    <x v="3"/>
  </r>
  <r>
    <s v="000261729"/>
    <d v="2021-12-11T00:00:00"/>
    <n v="11"/>
    <s v="December"/>
    <x v="0"/>
    <n v="38"/>
    <x v="0"/>
    <x v="0"/>
    <x v="0"/>
    <x v="0"/>
    <x v="0"/>
    <x v="0"/>
    <s v="Mountain-200 Silver, 38"/>
    <x v="1"/>
    <n v="1266"/>
    <x v="1"/>
    <x v="1"/>
    <n v="1266"/>
    <x v="1"/>
  </r>
  <r>
    <s v="000261730"/>
    <d v="2021-12-12T00:00:00"/>
    <n v="12"/>
    <s v="December"/>
    <x v="0"/>
    <n v="36"/>
    <x v="0"/>
    <x v="0"/>
    <x v="2"/>
    <x v="2"/>
    <x v="0"/>
    <x v="0"/>
    <s v="Mountain-200 Silver, 42"/>
    <x v="0"/>
    <n v="1266"/>
    <x v="1"/>
    <x v="10"/>
    <n v="5064"/>
    <x v="10"/>
  </r>
  <r>
    <s v="000261731"/>
    <d v="2021-12-12T00:00:00"/>
    <n v="12"/>
    <s v="December"/>
    <x v="0"/>
    <n v="37"/>
    <x v="0"/>
    <x v="1"/>
    <x v="0"/>
    <x v="0"/>
    <x v="0"/>
    <x v="0"/>
    <s v="Mountain-400-W Silver, 46"/>
    <x v="0"/>
    <n v="420"/>
    <x v="2"/>
    <x v="6"/>
    <n v="1680"/>
    <x v="6"/>
  </r>
  <r>
    <s v="000261732"/>
    <d v="2021-12-12T00:00:00"/>
    <n v="12"/>
    <s v="December"/>
    <x v="0"/>
    <n v="34"/>
    <x v="1"/>
    <x v="1"/>
    <x v="2"/>
    <x v="2"/>
    <x v="0"/>
    <x v="0"/>
    <s v="Mountain-200 Black, 38"/>
    <x v="2"/>
    <n v="1252"/>
    <x v="0"/>
    <x v="4"/>
    <n v="2504"/>
    <x v="4"/>
  </r>
  <r>
    <s v="000261733"/>
    <d v="2021-12-12T00:00:00"/>
    <n v="12"/>
    <s v="December"/>
    <x v="0"/>
    <n v="35"/>
    <x v="0"/>
    <x v="0"/>
    <x v="2"/>
    <x v="8"/>
    <x v="0"/>
    <x v="0"/>
    <s v="Mountain-200 Silver, 42"/>
    <x v="1"/>
    <n v="1266"/>
    <x v="1"/>
    <x v="1"/>
    <n v="1266"/>
    <x v="1"/>
  </r>
  <r>
    <s v="000261734"/>
    <d v="2021-12-12T00:00:00"/>
    <n v="12"/>
    <s v="December"/>
    <x v="0"/>
    <n v="38"/>
    <x v="0"/>
    <x v="0"/>
    <x v="0"/>
    <x v="3"/>
    <x v="0"/>
    <x v="0"/>
    <s v="Mountain-200 Silver, 42"/>
    <x v="1"/>
    <n v="1266"/>
    <x v="1"/>
    <x v="1"/>
    <n v="1266"/>
    <x v="1"/>
  </r>
  <r>
    <s v="000261735"/>
    <d v="2021-12-13T00:00:00"/>
    <n v="13"/>
    <s v="December"/>
    <x v="0"/>
    <n v="32"/>
    <x v="1"/>
    <x v="0"/>
    <x v="2"/>
    <x v="5"/>
    <x v="0"/>
    <x v="0"/>
    <s v="Mountain-200 Silver, 42"/>
    <x v="3"/>
    <n v="1266"/>
    <x v="1"/>
    <x v="15"/>
    <n v="3798"/>
    <x v="15"/>
  </r>
  <r>
    <s v="000261736"/>
    <d v="2021-12-13T00:00:00"/>
    <n v="13"/>
    <s v="December"/>
    <x v="0"/>
    <n v="40"/>
    <x v="0"/>
    <x v="0"/>
    <x v="0"/>
    <x v="0"/>
    <x v="0"/>
    <x v="0"/>
    <s v="Mountain-500 Silver, 40"/>
    <x v="1"/>
    <n v="308"/>
    <x v="3"/>
    <x v="16"/>
    <n v="308"/>
    <x v="16"/>
  </r>
  <r>
    <s v="000261737"/>
    <d v="2021-12-13T00:00:00"/>
    <n v="13"/>
    <s v="December"/>
    <x v="0"/>
    <n v="44"/>
    <x v="0"/>
    <x v="0"/>
    <x v="1"/>
    <x v="1"/>
    <x v="0"/>
    <x v="0"/>
    <s v="Mountain-200 Black, 38"/>
    <x v="1"/>
    <n v="1252"/>
    <x v="0"/>
    <x v="5"/>
    <n v="1252"/>
    <x v="5"/>
  </r>
  <r>
    <s v="000261738"/>
    <d v="2021-12-13T00:00:00"/>
    <n v="13"/>
    <s v="December"/>
    <x v="0"/>
    <n v="49"/>
    <x v="0"/>
    <x v="1"/>
    <x v="1"/>
    <x v="1"/>
    <x v="0"/>
    <x v="0"/>
    <s v="Mountain-200 Black, 38"/>
    <x v="1"/>
    <n v="1252"/>
    <x v="0"/>
    <x v="5"/>
    <n v="1252"/>
    <x v="5"/>
  </r>
  <r>
    <s v="000261739"/>
    <d v="2021-12-14T00:00:00"/>
    <n v="14"/>
    <s v="December"/>
    <x v="0"/>
    <n v="30"/>
    <x v="1"/>
    <x v="0"/>
    <x v="0"/>
    <x v="3"/>
    <x v="0"/>
    <x v="0"/>
    <s v="Mountain-200 Silver, 38"/>
    <x v="2"/>
    <n v="1266"/>
    <x v="1"/>
    <x v="8"/>
    <n v="2532"/>
    <x v="8"/>
  </r>
  <r>
    <s v="000261740"/>
    <d v="2021-12-14T00:00:00"/>
    <n v="14"/>
    <s v="December"/>
    <x v="0"/>
    <n v="32"/>
    <x v="1"/>
    <x v="1"/>
    <x v="0"/>
    <x v="0"/>
    <x v="0"/>
    <x v="0"/>
    <s v="Mountain-200 Black, 46"/>
    <x v="1"/>
    <n v="1252"/>
    <x v="0"/>
    <x v="5"/>
    <n v="1252"/>
    <x v="5"/>
  </r>
  <r>
    <s v="000261741"/>
    <d v="2021-12-14T00:00:00"/>
    <n v="14"/>
    <s v="December"/>
    <x v="0"/>
    <n v="32"/>
    <x v="1"/>
    <x v="0"/>
    <x v="2"/>
    <x v="8"/>
    <x v="0"/>
    <x v="0"/>
    <s v="Mountain-400-W Silver, 46"/>
    <x v="1"/>
    <n v="420"/>
    <x v="2"/>
    <x v="3"/>
    <n v="420"/>
    <x v="3"/>
  </r>
  <r>
    <s v="000261742"/>
    <d v="2021-12-15T00:00:00"/>
    <n v="15"/>
    <s v="December"/>
    <x v="0"/>
    <n v="29"/>
    <x v="1"/>
    <x v="0"/>
    <x v="0"/>
    <x v="0"/>
    <x v="0"/>
    <x v="0"/>
    <s v="Mountain-200 Silver, 42"/>
    <x v="1"/>
    <n v="1266"/>
    <x v="1"/>
    <x v="1"/>
    <n v="1266"/>
    <x v="1"/>
  </r>
  <r>
    <s v="000261743"/>
    <d v="2021-12-16T00:00:00"/>
    <n v="16"/>
    <s v="December"/>
    <x v="0"/>
    <n v="33"/>
    <x v="1"/>
    <x v="0"/>
    <x v="2"/>
    <x v="2"/>
    <x v="0"/>
    <x v="0"/>
    <s v="Mountain-200 Black, 38"/>
    <x v="2"/>
    <n v="1252"/>
    <x v="0"/>
    <x v="4"/>
    <n v="2504"/>
    <x v="4"/>
  </r>
  <r>
    <s v="000261744"/>
    <d v="2021-12-16T00:00:00"/>
    <n v="16"/>
    <s v="December"/>
    <x v="0"/>
    <n v="38"/>
    <x v="0"/>
    <x v="1"/>
    <x v="2"/>
    <x v="2"/>
    <x v="0"/>
    <x v="0"/>
    <s v="Mountain-200 Black, 38"/>
    <x v="2"/>
    <n v="1252"/>
    <x v="0"/>
    <x v="4"/>
    <n v="2504"/>
    <x v="4"/>
  </r>
  <r>
    <s v="000261745"/>
    <d v="2021-12-16T00:00:00"/>
    <n v="16"/>
    <s v="December"/>
    <x v="0"/>
    <n v="27"/>
    <x v="1"/>
    <x v="0"/>
    <x v="7"/>
    <x v="11"/>
    <x v="0"/>
    <x v="0"/>
    <s v="Mountain-200 Silver, 46"/>
    <x v="1"/>
    <n v="1266"/>
    <x v="1"/>
    <x v="1"/>
    <n v="1266"/>
    <x v="1"/>
  </r>
  <r>
    <s v="000261746"/>
    <d v="2021-12-17T00:00:00"/>
    <n v="17"/>
    <s v="December"/>
    <x v="0"/>
    <n v="37"/>
    <x v="0"/>
    <x v="0"/>
    <x v="0"/>
    <x v="3"/>
    <x v="0"/>
    <x v="0"/>
    <s v="Mountain-200 Silver, 38"/>
    <x v="2"/>
    <n v="1266"/>
    <x v="1"/>
    <x v="8"/>
    <n v="2532"/>
    <x v="8"/>
  </r>
  <r>
    <s v="000261747"/>
    <d v="2021-12-17T00:00:00"/>
    <n v="17"/>
    <s v="December"/>
    <x v="0"/>
    <n v="31"/>
    <x v="1"/>
    <x v="1"/>
    <x v="2"/>
    <x v="2"/>
    <x v="0"/>
    <x v="0"/>
    <s v="Mountain-400-W Silver, 42"/>
    <x v="1"/>
    <n v="420"/>
    <x v="2"/>
    <x v="3"/>
    <n v="420"/>
    <x v="3"/>
  </r>
  <r>
    <s v="000261748"/>
    <d v="2021-12-17T00:00:00"/>
    <n v="17"/>
    <s v="December"/>
    <x v="0"/>
    <n v="42"/>
    <x v="0"/>
    <x v="0"/>
    <x v="5"/>
    <x v="4"/>
    <x v="0"/>
    <x v="0"/>
    <s v="Mountain-200 Silver, 46"/>
    <x v="1"/>
    <n v="1266"/>
    <x v="1"/>
    <x v="1"/>
    <n v="1266"/>
    <x v="1"/>
  </r>
  <r>
    <s v="000261749"/>
    <d v="2021-12-18T00:00:00"/>
    <n v="18"/>
    <s v="December"/>
    <x v="0"/>
    <n v="35"/>
    <x v="0"/>
    <x v="0"/>
    <x v="2"/>
    <x v="2"/>
    <x v="0"/>
    <x v="0"/>
    <s v="Mountain-500 Silver, 42"/>
    <x v="0"/>
    <n v="308"/>
    <x v="3"/>
    <x v="9"/>
    <n v="1232"/>
    <x v="9"/>
  </r>
  <r>
    <s v="000261750"/>
    <d v="2021-12-18T00:00:00"/>
    <n v="18"/>
    <s v="December"/>
    <x v="0"/>
    <n v="38"/>
    <x v="0"/>
    <x v="0"/>
    <x v="5"/>
    <x v="4"/>
    <x v="0"/>
    <x v="0"/>
    <s v="Mountain-200 Silver, 46"/>
    <x v="0"/>
    <n v="1266"/>
    <x v="1"/>
    <x v="10"/>
    <n v="5064"/>
    <x v="10"/>
  </r>
  <r>
    <s v="000261751"/>
    <d v="2021-12-18T00:00:00"/>
    <n v="18"/>
    <s v="December"/>
    <x v="0"/>
    <n v="24"/>
    <x v="2"/>
    <x v="0"/>
    <x v="7"/>
    <x v="12"/>
    <x v="0"/>
    <x v="0"/>
    <s v="Mountain-200 Silver, 38"/>
    <x v="3"/>
    <n v="1266"/>
    <x v="1"/>
    <x v="15"/>
    <n v="3798"/>
    <x v="15"/>
  </r>
  <r>
    <s v="000261752"/>
    <d v="2021-12-18T00:00:00"/>
    <n v="18"/>
    <s v="December"/>
    <x v="0"/>
    <n v="26"/>
    <x v="1"/>
    <x v="0"/>
    <x v="1"/>
    <x v="1"/>
    <x v="0"/>
    <x v="0"/>
    <s v="Mountain-400-W Silver, 42"/>
    <x v="3"/>
    <n v="420"/>
    <x v="2"/>
    <x v="7"/>
    <n v="1260"/>
    <x v="7"/>
  </r>
  <r>
    <s v="000261753"/>
    <d v="2021-12-18T00:00:00"/>
    <n v="18"/>
    <s v="December"/>
    <x v="0"/>
    <n v="39"/>
    <x v="0"/>
    <x v="1"/>
    <x v="0"/>
    <x v="0"/>
    <x v="0"/>
    <x v="0"/>
    <s v="Mountain-200 Black, 42"/>
    <x v="3"/>
    <n v="1252"/>
    <x v="0"/>
    <x v="14"/>
    <n v="3756"/>
    <x v="14"/>
  </r>
  <r>
    <s v="000261754"/>
    <d v="2021-12-18T00:00:00"/>
    <n v="18"/>
    <s v="December"/>
    <x v="0"/>
    <n v="26"/>
    <x v="1"/>
    <x v="1"/>
    <x v="7"/>
    <x v="10"/>
    <x v="0"/>
    <x v="0"/>
    <s v="Mountain-200 Black, 46"/>
    <x v="1"/>
    <n v="1252"/>
    <x v="0"/>
    <x v="5"/>
    <n v="1252"/>
    <x v="5"/>
  </r>
  <r>
    <s v="000261755"/>
    <d v="2021-12-18T00:00:00"/>
    <n v="18"/>
    <s v="December"/>
    <x v="0"/>
    <n v="36"/>
    <x v="0"/>
    <x v="1"/>
    <x v="0"/>
    <x v="3"/>
    <x v="0"/>
    <x v="0"/>
    <s v="Mountain-200 Silver, 38"/>
    <x v="1"/>
    <n v="1266"/>
    <x v="1"/>
    <x v="1"/>
    <n v="1266"/>
    <x v="1"/>
  </r>
  <r>
    <s v="000261756"/>
    <d v="2021-12-19T00:00:00"/>
    <n v="19"/>
    <s v="December"/>
    <x v="0"/>
    <n v="17"/>
    <x v="2"/>
    <x v="1"/>
    <x v="7"/>
    <x v="13"/>
    <x v="0"/>
    <x v="0"/>
    <s v="Mountain-200 Silver, 46"/>
    <x v="0"/>
    <n v="1266"/>
    <x v="1"/>
    <x v="10"/>
    <n v="5064"/>
    <x v="10"/>
  </r>
  <r>
    <s v="000261757"/>
    <d v="2021-12-19T00:00:00"/>
    <n v="19"/>
    <s v="December"/>
    <x v="0"/>
    <n v="19"/>
    <x v="2"/>
    <x v="0"/>
    <x v="2"/>
    <x v="8"/>
    <x v="0"/>
    <x v="0"/>
    <s v="Mountain-500 Black, 44"/>
    <x v="0"/>
    <n v="295"/>
    <x v="4"/>
    <x v="17"/>
    <n v="1180"/>
    <x v="17"/>
  </r>
  <r>
    <s v="000261758"/>
    <d v="2021-12-19T00:00:00"/>
    <n v="19"/>
    <s v="December"/>
    <x v="0"/>
    <n v="25"/>
    <x v="1"/>
    <x v="1"/>
    <x v="7"/>
    <x v="10"/>
    <x v="0"/>
    <x v="0"/>
    <s v="Mountain-200 Black, 38"/>
    <x v="0"/>
    <n v="1252"/>
    <x v="0"/>
    <x v="0"/>
    <n v="5008"/>
    <x v="0"/>
  </r>
  <r>
    <s v="000261759"/>
    <d v="2021-12-19T00:00:00"/>
    <n v="19"/>
    <s v="December"/>
    <x v="0"/>
    <n v="35"/>
    <x v="0"/>
    <x v="0"/>
    <x v="0"/>
    <x v="7"/>
    <x v="0"/>
    <x v="0"/>
    <s v="Mountain-100 Black, 48"/>
    <x v="0"/>
    <n v="1898"/>
    <x v="5"/>
    <x v="18"/>
    <n v="7592"/>
    <x v="18"/>
  </r>
  <r>
    <s v="000261760"/>
    <d v="2021-12-19T00:00:00"/>
    <n v="19"/>
    <s v="December"/>
    <x v="0"/>
    <n v="37"/>
    <x v="0"/>
    <x v="1"/>
    <x v="0"/>
    <x v="7"/>
    <x v="0"/>
    <x v="0"/>
    <s v="Mountain-200 Black, 38"/>
    <x v="0"/>
    <n v="1252"/>
    <x v="0"/>
    <x v="0"/>
    <n v="5008"/>
    <x v="0"/>
  </r>
  <r>
    <s v="000261761"/>
    <d v="2021-12-19T00:00:00"/>
    <n v="19"/>
    <s v="December"/>
    <x v="0"/>
    <n v="39"/>
    <x v="0"/>
    <x v="0"/>
    <x v="0"/>
    <x v="0"/>
    <x v="0"/>
    <x v="0"/>
    <s v="Mountain-200 Black, 46"/>
    <x v="0"/>
    <n v="1252"/>
    <x v="0"/>
    <x v="0"/>
    <n v="5008"/>
    <x v="0"/>
  </r>
  <r>
    <s v="000261762"/>
    <d v="2021-12-19T00:00:00"/>
    <n v="19"/>
    <s v="December"/>
    <x v="0"/>
    <n v="63"/>
    <x v="0"/>
    <x v="0"/>
    <x v="2"/>
    <x v="5"/>
    <x v="0"/>
    <x v="0"/>
    <s v="Mountain-200 Black, 46"/>
    <x v="0"/>
    <n v="1252"/>
    <x v="0"/>
    <x v="0"/>
    <n v="5008"/>
    <x v="0"/>
  </r>
  <r>
    <s v="000261763"/>
    <d v="2021-12-19T00:00:00"/>
    <n v="19"/>
    <s v="December"/>
    <x v="0"/>
    <n v="18"/>
    <x v="2"/>
    <x v="1"/>
    <x v="2"/>
    <x v="14"/>
    <x v="0"/>
    <x v="0"/>
    <s v="Mountain-500 Black, 40"/>
    <x v="2"/>
    <n v="295"/>
    <x v="4"/>
    <x v="19"/>
    <n v="590"/>
    <x v="19"/>
  </r>
  <r>
    <s v="000261764"/>
    <d v="2021-12-19T00:00:00"/>
    <n v="19"/>
    <s v="December"/>
    <x v="0"/>
    <n v="56"/>
    <x v="0"/>
    <x v="0"/>
    <x v="5"/>
    <x v="15"/>
    <x v="0"/>
    <x v="0"/>
    <s v="Mountain-200 Black, 46"/>
    <x v="2"/>
    <n v="1252"/>
    <x v="0"/>
    <x v="4"/>
    <n v="2504"/>
    <x v="4"/>
  </r>
  <r>
    <s v="000261765"/>
    <d v="2021-12-19T00:00:00"/>
    <n v="19"/>
    <s v="December"/>
    <x v="0"/>
    <n v="39"/>
    <x v="0"/>
    <x v="0"/>
    <x v="0"/>
    <x v="3"/>
    <x v="0"/>
    <x v="0"/>
    <s v="Mountain-200 Silver, 38"/>
    <x v="1"/>
    <n v="1266"/>
    <x v="1"/>
    <x v="1"/>
    <n v="1266"/>
    <x v="1"/>
  </r>
  <r>
    <s v="000261766"/>
    <d v="2021-12-20T00:00:00"/>
    <n v="20"/>
    <s v="December"/>
    <x v="0"/>
    <n v="33"/>
    <x v="1"/>
    <x v="0"/>
    <x v="2"/>
    <x v="8"/>
    <x v="0"/>
    <x v="0"/>
    <s v="Mountain-100 Black, 38"/>
    <x v="0"/>
    <n v="1898"/>
    <x v="5"/>
    <x v="18"/>
    <n v="7592"/>
    <x v="18"/>
  </r>
  <r>
    <s v="000261767"/>
    <d v="2021-12-20T00:00:00"/>
    <n v="20"/>
    <s v="December"/>
    <x v="0"/>
    <n v="57"/>
    <x v="0"/>
    <x v="1"/>
    <x v="2"/>
    <x v="5"/>
    <x v="0"/>
    <x v="0"/>
    <s v="Mountain-200 Black, 46"/>
    <x v="0"/>
    <n v="1252"/>
    <x v="0"/>
    <x v="0"/>
    <n v="5008"/>
    <x v="0"/>
  </r>
  <r>
    <s v="000261768"/>
    <d v="2021-12-20T00:00:00"/>
    <n v="20"/>
    <s v="December"/>
    <x v="0"/>
    <n v="29"/>
    <x v="1"/>
    <x v="1"/>
    <x v="6"/>
    <x v="6"/>
    <x v="0"/>
    <x v="0"/>
    <s v="Mountain-500 Black, 52"/>
    <x v="3"/>
    <n v="295"/>
    <x v="4"/>
    <x v="20"/>
    <n v="885"/>
    <x v="20"/>
  </r>
  <r>
    <s v="000261769"/>
    <d v="2021-12-20T00:00:00"/>
    <n v="20"/>
    <s v="December"/>
    <x v="0"/>
    <n v="35"/>
    <x v="0"/>
    <x v="0"/>
    <x v="2"/>
    <x v="5"/>
    <x v="0"/>
    <x v="0"/>
    <s v="Mountain-200 Silver, 38"/>
    <x v="1"/>
    <n v="1266"/>
    <x v="1"/>
    <x v="1"/>
    <n v="1266"/>
    <x v="1"/>
  </r>
  <r>
    <s v="000261770"/>
    <d v="2021-12-20T00:00:00"/>
    <n v="20"/>
    <s v="December"/>
    <x v="0"/>
    <n v="35"/>
    <x v="0"/>
    <x v="1"/>
    <x v="2"/>
    <x v="8"/>
    <x v="0"/>
    <x v="0"/>
    <s v="Mountain-200 Silver, 38"/>
    <x v="1"/>
    <n v="1266"/>
    <x v="1"/>
    <x v="1"/>
    <n v="1266"/>
    <x v="1"/>
  </r>
  <r>
    <s v="000261771"/>
    <d v="2021-12-21T00:00:00"/>
    <n v="21"/>
    <s v="December"/>
    <x v="0"/>
    <n v="26"/>
    <x v="1"/>
    <x v="1"/>
    <x v="7"/>
    <x v="16"/>
    <x v="0"/>
    <x v="0"/>
    <s v="Mountain-200 Silver, 38"/>
    <x v="3"/>
    <n v="1266"/>
    <x v="1"/>
    <x v="15"/>
    <n v="3798"/>
    <x v="15"/>
  </r>
  <r>
    <s v="000261772"/>
    <d v="2021-12-21T00:00:00"/>
    <n v="21"/>
    <s v="December"/>
    <x v="0"/>
    <n v="23"/>
    <x v="2"/>
    <x v="1"/>
    <x v="1"/>
    <x v="1"/>
    <x v="0"/>
    <x v="0"/>
    <s v="Mountain-400-W Silver, 46"/>
    <x v="2"/>
    <n v="420"/>
    <x v="2"/>
    <x v="2"/>
    <n v="840"/>
    <x v="2"/>
  </r>
  <r>
    <s v="000261773"/>
    <d v="2021-12-22T00:00:00"/>
    <n v="22"/>
    <s v="December"/>
    <x v="0"/>
    <n v="30"/>
    <x v="1"/>
    <x v="0"/>
    <x v="0"/>
    <x v="3"/>
    <x v="0"/>
    <x v="0"/>
    <s v="Mountain-200 Silver, 38"/>
    <x v="3"/>
    <n v="1266"/>
    <x v="1"/>
    <x v="15"/>
    <n v="3798"/>
    <x v="15"/>
  </r>
  <r>
    <s v="000261774"/>
    <d v="2021-12-22T00:00:00"/>
    <n v="22"/>
    <s v="December"/>
    <x v="0"/>
    <n v="41"/>
    <x v="0"/>
    <x v="1"/>
    <x v="0"/>
    <x v="0"/>
    <x v="0"/>
    <x v="0"/>
    <s v="Mountain-200 Black, 42"/>
    <x v="3"/>
    <n v="1252"/>
    <x v="0"/>
    <x v="14"/>
    <n v="3756"/>
    <x v="14"/>
  </r>
  <r>
    <s v="000261775"/>
    <d v="2021-12-22T00:00:00"/>
    <n v="22"/>
    <s v="December"/>
    <x v="0"/>
    <n v="19"/>
    <x v="2"/>
    <x v="0"/>
    <x v="2"/>
    <x v="2"/>
    <x v="0"/>
    <x v="0"/>
    <s v="Mountain-500 Silver, 42"/>
    <x v="1"/>
    <n v="308"/>
    <x v="3"/>
    <x v="16"/>
    <n v="308"/>
    <x v="16"/>
  </r>
  <r>
    <s v="000261776"/>
    <d v="2021-12-22T00:00:00"/>
    <n v="22"/>
    <s v="December"/>
    <x v="0"/>
    <n v="25"/>
    <x v="1"/>
    <x v="1"/>
    <x v="7"/>
    <x v="10"/>
    <x v="0"/>
    <x v="0"/>
    <s v="Mountain-200 Black, 38"/>
    <x v="1"/>
    <n v="1252"/>
    <x v="0"/>
    <x v="5"/>
    <n v="1252"/>
    <x v="5"/>
  </r>
  <r>
    <s v="000261777"/>
    <d v="2021-12-22T00:00:00"/>
    <n v="22"/>
    <s v="December"/>
    <x v="0"/>
    <n v="27"/>
    <x v="1"/>
    <x v="0"/>
    <x v="6"/>
    <x v="6"/>
    <x v="0"/>
    <x v="0"/>
    <s v="Mountain-200 Black, 46"/>
    <x v="1"/>
    <n v="1252"/>
    <x v="0"/>
    <x v="5"/>
    <n v="1252"/>
    <x v="5"/>
  </r>
  <r>
    <s v="000261778"/>
    <d v="2021-12-22T00:00:00"/>
    <n v="22"/>
    <s v="December"/>
    <x v="0"/>
    <n v="41"/>
    <x v="0"/>
    <x v="1"/>
    <x v="5"/>
    <x v="15"/>
    <x v="0"/>
    <x v="0"/>
    <s v="Mountain-200 Silver, 38"/>
    <x v="1"/>
    <n v="1266"/>
    <x v="1"/>
    <x v="1"/>
    <n v="1266"/>
    <x v="1"/>
  </r>
  <r>
    <s v="000261779"/>
    <d v="2021-12-23T00:00:00"/>
    <n v="23"/>
    <s v="December"/>
    <x v="0"/>
    <n v="30"/>
    <x v="1"/>
    <x v="0"/>
    <x v="0"/>
    <x v="7"/>
    <x v="0"/>
    <x v="0"/>
    <s v="Mountain-200 Silver, 42"/>
    <x v="1"/>
    <n v="1266"/>
    <x v="1"/>
    <x v="1"/>
    <n v="1266"/>
    <x v="1"/>
  </r>
  <r>
    <s v="000261780"/>
    <d v="2021-12-23T00:00:00"/>
    <n v="23"/>
    <s v="December"/>
    <x v="0"/>
    <n v="31"/>
    <x v="1"/>
    <x v="0"/>
    <x v="6"/>
    <x v="6"/>
    <x v="0"/>
    <x v="0"/>
    <s v="Mountain-200 Black, 42"/>
    <x v="1"/>
    <n v="1252"/>
    <x v="0"/>
    <x v="5"/>
    <n v="1252"/>
    <x v="5"/>
  </r>
  <r>
    <s v="000261781"/>
    <d v="2021-12-23T00:00:00"/>
    <n v="23"/>
    <s v="December"/>
    <x v="0"/>
    <n v="35"/>
    <x v="0"/>
    <x v="0"/>
    <x v="0"/>
    <x v="0"/>
    <x v="0"/>
    <x v="0"/>
    <s v="Mountain-500 Black, 42"/>
    <x v="1"/>
    <n v="295"/>
    <x v="4"/>
    <x v="11"/>
    <n v="295"/>
    <x v="11"/>
  </r>
  <r>
    <s v="000261782"/>
    <d v="2021-12-24T00:00:00"/>
    <n v="24"/>
    <s v="December"/>
    <x v="0"/>
    <n v="38"/>
    <x v="0"/>
    <x v="1"/>
    <x v="2"/>
    <x v="5"/>
    <x v="0"/>
    <x v="0"/>
    <s v="Mountain-200 Black, 42"/>
    <x v="0"/>
    <n v="1252"/>
    <x v="0"/>
    <x v="0"/>
    <n v="500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  <s v="Medium"/>
  </r>
  <r>
    <x v="0"/>
    <x v="1"/>
    <n v="200"/>
    <s v="Low"/>
  </r>
  <r>
    <x v="1"/>
    <x v="0"/>
    <n v="700"/>
    <s v="High"/>
  </r>
  <r>
    <x v="1"/>
    <x v="2"/>
    <n v="400"/>
    <s v="Medium"/>
  </r>
  <r>
    <x v="2"/>
    <x v="1"/>
    <n v="150"/>
    <s v="Low"/>
  </r>
  <r>
    <x v="2"/>
    <x v="0"/>
    <n v="600"/>
    <s v="Medium"/>
  </r>
  <r>
    <x v="3"/>
    <x v="2"/>
    <n v="800"/>
    <s v="High"/>
  </r>
  <r>
    <x v="3"/>
    <x v="1"/>
    <n v="300"/>
    <s v="Medium"/>
  </r>
  <r>
    <x v="4"/>
    <x v="0"/>
    <n v="250"/>
    <s v="Low"/>
  </r>
  <r>
    <x v="4"/>
    <x v="2"/>
    <n v="300"/>
    <s v="Medium"/>
  </r>
  <r>
    <x v="5"/>
    <x v="1"/>
    <n v="600"/>
    <s v="Medium"/>
  </r>
  <r>
    <x v="5"/>
    <x v="0"/>
    <n v="40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87ED4-33E2-8C43-A049-F981109D45DA}" name="PivotTable4" cacheId="3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9">
    <pivotField showAll="0"/>
    <pivotField numFmtId="14"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>
      <items count="18">
        <item x="6"/>
        <item x="0"/>
        <item x="1"/>
        <item x="9"/>
        <item x="15"/>
        <item x="2"/>
        <item x="13"/>
        <item x="4"/>
        <item x="7"/>
        <item x="5"/>
        <item x="10"/>
        <item x="11"/>
        <item x="12"/>
        <item x="16"/>
        <item x="14"/>
        <item x="8"/>
        <item x="3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numFmtId="164" showAll="0">
      <items count="8">
        <item x="4"/>
        <item x="3"/>
        <item x="2"/>
        <item x="0"/>
        <item x="1"/>
        <item x="5"/>
        <item x="6"/>
        <item t="default"/>
      </items>
    </pivotField>
    <pivotField numFmtId="164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  <pivotField numFmtId="164" showAll="0"/>
    <pivotField dataField="1" numFmtId="164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8" baseField="0" baseItem="0" numFmtId="168"/>
  </dataFields>
  <formats count="1">
    <format dxfId="0">
      <pivotArea outline="0" collapsedLevelsAreSubtotals="1" fieldPosition="0"/>
    </format>
  </formats>
  <chartFormats count="2">
    <chartFormat chart="2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8CCB1-7F77-7940-8BCF-D303E0ED051A}" name="PivotTable5" cacheId="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16:E24" firstHeaderRow="1" firstDataRow="2" firstDataCol="1"/>
  <pivotFields count="4">
    <pivotField axis="axisRow" showAll="0">
      <items count="7">
        <item x="1"/>
        <item x="4"/>
        <item x="3"/>
        <item x="5"/>
        <item x="2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numFmtI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B4EF43-EEEE-ED48-9D94-0DBAF6C52C95}" name="Table2" displayName="Table2" ref="A1:S89" totalsRowShown="0" headerRowDxfId="10">
  <autoFilter ref="A1:S89" xr:uid="{18B4EF43-EEEE-ED48-9D94-0DBAF6C52C95}"/>
  <tableColumns count="19">
    <tableColumn id="1" xr3:uid="{1651673F-DB66-9041-BD7D-7F22FC3337D2}" name="Sales_Order #" dataDxfId="9"/>
    <tableColumn id="2" xr3:uid="{97707AB1-C992-454F-B05D-DABE0A90DD43}" name="Date" dataDxfId="8"/>
    <tableColumn id="3" xr3:uid="{9C9A8230-1DC0-7F4C-8EBF-63B75497EA65}" name="Day"/>
    <tableColumn id="4" xr3:uid="{D17F09E6-7324-584B-B79A-6DC2F48B7DA0}" name="Month"/>
    <tableColumn id="5" xr3:uid="{E116F24F-97F5-D74F-8C3A-23CD016F501E}" name="Year"/>
    <tableColumn id="6" xr3:uid="{FCC532BB-1286-AA42-8C78-2114FE2BD514}" name="Customer_Age"/>
    <tableColumn id="7" xr3:uid="{3F66A3E3-01DC-7E49-A6D1-28D23BB4AF5F}" name="Age_Group" dataDxfId="7"/>
    <tableColumn id="8" xr3:uid="{83FE8285-45D0-9548-AAC1-6F88BC89F4E7}" name="Customer_Gender"/>
    <tableColumn id="9" xr3:uid="{94759A40-9452-F34A-8299-3D9D121DF93B}" name="Country"/>
    <tableColumn id="10" xr3:uid="{12917A89-A182-934A-8729-6C5401EC3368}" name="State"/>
    <tableColumn id="11" xr3:uid="{899D6FBF-5B77-D24C-8584-0AA3196B9329}" name="Product_Category"/>
    <tableColumn id="12" xr3:uid="{27ED9B5E-1BAA-2D48-B7E0-784ECF8805D2}" name="Sub_Category"/>
    <tableColumn id="13" xr3:uid="{03293F85-C50C-FB47-A968-DF4F3F2391FD}" name="Product_Description" dataDxfId="6"/>
    <tableColumn id="14" xr3:uid="{16428FE4-FF89-DF4C-BC00-2646EBE3D5E4}" name="Order_Quantity"/>
    <tableColumn id="15" xr3:uid="{D7FACB9C-C8FA-4943-832B-8A143545277C}" name=" Unit_Cost " dataDxfId="5"/>
    <tableColumn id="16" xr3:uid="{CE452419-1737-094C-A298-41D3CD78A4FE}" name=" Unit_Price " dataDxfId="4"/>
    <tableColumn id="17" xr3:uid="{C692172D-6716-964E-8F8A-91E93E1A8EE9}" name=" Profit " dataDxfId="3"/>
    <tableColumn id="18" xr3:uid="{DC25EA5E-7C9F-6640-875B-4A377D127199}" name=" Cost " dataDxfId="2">
      <calculatedColumnFormula>N2*O2</calculatedColumnFormula>
    </tableColumn>
    <tableColumn id="19" xr3:uid="{F8C1A8C1-C2A3-A546-8644-8ECC4DEFE2C6}" name="Revenue" dataDxfId="1">
      <calculatedColumnFormula>N2*P2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537E3-27AA-E749-A1AC-0B7C420FACB5}" name="BikeSales" displayName="BikeSales" ref="A1:D13" totalsRowShown="0" headerRowBorderDxfId="16" tableBorderDxfId="15">
  <autoFilter ref="A1:D13" xr:uid="{1DD537E3-27AA-E749-A1AC-0B7C420FACB5}"/>
  <tableColumns count="4">
    <tableColumn id="1" xr3:uid="{970B934D-E7A8-DA46-9CE4-ED0301BCB34F}" name="County" dataDxfId="14"/>
    <tableColumn id="2" xr3:uid="{64A61BCC-4603-0B43-BDCD-93409ACC231E}" name="Product" dataDxfId="13"/>
    <tableColumn id="3" xr3:uid="{F6DC67C9-BE90-E341-8A01-3D27F4FAFA48}" name="Sales Volume" dataDxfId="12"/>
    <tableColumn id="4" xr3:uid="{A96D9442-864B-AD41-A7D1-7771A9FEF5A2}" name="Category" dataDxfId="11">
      <calculatedColumnFormula array="1">_xlfn.SWITCH(TRUE, C2 &gt; 600, "High", C2 &gt;= 300, "Medium", 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topLeftCell="A6" zoomScale="120" zoomScaleNormal="120" workbookViewId="0">
      <selection activeCell="A3" sqref="A3:C8"/>
    </sheetView>
  </sheetViews>
  <sheetFormatPr baseColWidth="10" defaultColWidth="8.83203125" defaultRowHeight="15" x14ac:dyDescent="0.2"/>
  <cols>
    <col min="1" max="1" width="15.5" customWidth="1"/>
    <col min="2" max="2" width="15.83203125" customWidth="1"/>
    <col min="4" max="4" width="10.1640625" bestFit="1" customWidth="1"/>
    <col min="6" max="6" width="16.5" customWidth="1"/>
    <col min="7" max="7" width="19.6640625" style="8" bestFit="1" customWidth="1"/>
    <col min="8" max="8" width="17.1640625" bestFit="1" customWidth="1"/>
    <col min="9" max="9" width="15.5" bestFit="1" customWidth="1"/>
    <col min="10" max="10" width="19.83203125" bestFit="1" customWidth="1"/>
    <col min="11" max="11" width="16.5" customWidth="1"/>
    <col min="12" max="12" width="14.83203125" bestFit="1" customWidth="1"/>
    <col min="13" max="13" width="25" bestFit="1" customWidth="1"/>
    <col min="14" max="14" width="15" customWidth="1"/>
    <col min="15" max="15" width="11.1640625" customWidth="1"/>
    <col min="16" max="16" width="11.5" customWidth="1"/>
    <col min="17" max="18" width="9.83203125" bestFit="1" customWidth="1"/>
    <col min="19" max="19" width="10.83203125" bestFit="1" customWidth="1"/>
  </cols>
  <sheetData>
    <row r="1" spans="1:1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C627-7617-124D-B0B4-3D4C42A4BEE7}">
  <dimension ref="A3:B7"/>
  <sheetViews>
    <sheetView workbookViewId="0">
      <selection activeCell="P26" sqref="P26"/>
    </sheetView>
  </sheetViews>
  <sheetFormatPr baseColWidth="10" defaultRowHeight="15" x14ac:dyDescent="0.2"/>
  <cols>
    <col min="1" max="1" width="17" bestFit="1" customWidth="1"/>
    <col min="2" max="3" width="13.5" bestFit="1" customWidth="1"/>
    <col min="4" max="9" width="9.6640625" bestFit="1" customWidth="1"/>
    <col min="10" max="10" width="10.6640625" bestFit="1" customWidth="1"/>
    <col min="11" max="11" width="9.6640625" bestFit="1" customWidth="1"/>
    <col min="12" max="12" width="10.6640625" bestFit="1" customWidth="1"/>
    <col min="13" max="14" width="9.6640625" bestFit="1" customWidth="1"/>
    <col min="15" max="15" width="10.6640625" bestFit="1" customWidth="1"/>
    <col min="16" max="18" width="9.6640625" bestFit="1" customWidth="1"/>
    <col min="19" max="22" width="10.6640625" bestFit="1" customWidth="1"/>
    <col min="23" max="23" width="11.6640625" bestFit="1" customWidth="1"/>
    <col min="24" max="24" width="9.6640625" bestFit="1" customWidth="1"/>
    <col min="25" max="25" width="13.6640625" bestFit="1" customWidth="1"/>
    <col min="26" max="26" width="9.6640625" bestFit="1" customWidth="1"/>
    <col min="27" max="27" width="13.6640625" bestFit="1" customWidth="1"/>
    <col min="28" max="28" width="9.6640625" bestFit="1" customWidth="1"/>
    <col min="29" max="29" width="13.6640625" bestFit="1" customWidth="1"/>
    <col min="30" max="30" width="9.6640625" bestFit="1" customWidth="1"/>
    <col min="31" max="31" width="13.6640625" bestFit="1" customWidth="1"/>
    <col min="32" max="32" width="9.6640625" bestFit="1" customWidth="1"/>
    <col min="33" max="33" width="13.6640625" bestFit="1" customWidth="1"/>
    <col min="34" max="34" width="9.6640625" bestFit="1" customWidth="1"/>
    <col min="35" max="35" width="13.6640625" bestFit="1" customWidth="1"/>
    <col min="36" max="36" width="9.6640625" bestFit="1" customWidth="1"/>
    <col min="37" max="37" width="13.6640625" bestFit="1" customWidth="1"/>
    <col min="38" max="38" width="9.6640625" bestFit="1" customWidth="1"/>
    <col min="39" max="39" width="13.6640625" bestFit="1" customWidth="1"/>
    <col min="40" max="40" width="9.6640625" bestFit="1" customWidth="1"/>
    <col min="41" max="41" width="13.6640625" bestFit="1" customWidth="1"/>
    <col min="42" max="42" width="10.6640625" bestFit="1" customWidth="1"/>
    <col min="43" max="43" width="14.6640625" bestFit="1" customWidth="1"/>
    <col min="44" max="44" width="10" bestFit="1" customWidth="1"/>
  </cols>
  <sheetData>
    <row r="3" spans="1:2" x14ac:dyDescent="0.2">
      <c r="A3" s="16" t="s">
        <v>170</v>
      </c>
      <c r="B3" t="s">
        <v>175</v>
      </c>
    </row>
    <row r="4" spans="1:2" x14ac:dyDescent="0.2">
      <c r="A4" s="8" t="s">
        <v>21</v>
      </c>
      <c r="B4" s="20">
        <v>206256</v>
      </c>
    </row>
    <row r="5" spans="1:2" x14ac:dyDescent="0.2">
      <c r="A5" s="8" t="s">
        <v>35</v>
      </c>
      <c r="B5" s="20">
        <v>119646</v>
      </c>
    </row>
    <row r="6" spans="1:2" x14ac:dyDescent="0.2">
      <c r="A6" s="8" t="s">
        <v>42</v>
      </c>
      <c r="B6" s="20">
        <v>35330</v>
      </c>
    </row>
    <row r="7" spans="1:2" x14ac:dyDescent="0.2">
      <c r="A7" s="8" t="s">
        <v>171</v>
      </c>
      <c r="B7" s="20">
        <v>361232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E24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7.1640625" bestFit="1" customWidth="1"/>
    <col min="2" max="2" width="14.83203125" bestFit="1" customWidth="1"/>
    <col min="3" max="3" width="18.1640625" bestFit="1" customWidth="1"/>
    <col min="4" max="4" width="11.33203125" bestFit="1" customWidth="1"/>
    <col min="5" max="5" width="10" bestFit="1" customWidth="1"/>
    <col min="6" max="6" width="9.33203125" bestFit="1" customWidth="1"/>
    <col min="7" max="7" width="8.5" bestFit="1" customWidth="1"/>
    <col min="8" max="8" width="10" bestFit="1" customWidth="1"/>
  </cols>
  <sheetData>
    <row r="1" spans="1:4" ht="18" thickBot="1" x14ac:dyDescent="0.25">
      <c r="A1" s="11" t="s">
        <v>158</v>
      </c>
      <c r="B1" s="11" t="s">
        <v>159</v>
      </c>
      <c r="C1" s="12" t="s">
        <v>160</v>
      </c>
      <c r="D1" s="15" t="s">
        <v>174</v>
      </c>
    </row>
    <row r="2" spans="1:4" ht="18" thickBot="1" x14ac:dyDescent="0.25">
      <c r="A2" s="9" t="s">
        <v>161</v>
      </c>
      <c r="B2" s="9" t="s">
        <v>162</v>
      </c>
      <c r="C2" s="10">
        <v>500</v>
      </c>
      <c r="D2" s="18" t="str" cm="1">
        <f t="array" ref="D2">_xlfn.SWITCH(TRUE, C2 &gt; 600, "High", C2 &gt;= 300, "Medium", "Low")</f>
        <v>Medium</v>
      </c>
    </row>
    <row r="3" spans="1:4" ht="18" thickBot="1" x14ac:dyDescent="0.25">
      <c r="A3" s="9" t="s">
        <v>161</v>
      </c>
      <c r="B3" s="9" t="s">
        <v>163</v>
      </c>
      <c r="C3" s="10">
        <v>200</v>
      </c>
      <c r="D3" s="19" t="str" cm="1">
        <f t="array" ref="D3">_xlfn.SWITCH(TRUE, C3 &gt; 600, "High", C3 &gt;= 300, "Medium", "Low")</f>
        <v>Low</v>
      </c>
    </row>
    <row r="4" spans="1:4" ht="18" thickBot="1" x14ac:dyDescent="0.25">
      <c r="A4" s="9" t="s">
        <v>164</v>
      </c>
      <c r="B4" s="9" t="s">
        <v>162</v>
      </c>
      <c r="C4" s="10">
        <v>700</v>
      </c>
      <c r="D4" s="19" t="str" cm="1">
        <f t="array" ref="D4">_xlfn.SWITCH(TRUE, C4 &gt; 600, "High", C4 &gt;= 300, "Medium", "Low")</f>
        <v>High</v>
      </c>
    </row>
    <row r="5" spans="1:4" ht="18" thickBot="1" x14ac:dyDescent="0.25">
      <c r="A5" s="9" t="s">
        <v>164</v>
      </c>
      <c r="B5" s="9" t="s">
        <v>165</v>
      </c>
      <c r="C5" s="10">
        <v>400</v>
      </c>
      <c r="D5" s="19" t="str" cm="1">
        <f t="array" ref="D5">_xlfn.SWITCH(TRUE, C5 &gt; 600, "High", C5 &gt;= 300, "Medium", "Low")</f>
        <v>Medium</v>
      </c>
    </row>
    <row r="6" spans="1:4" ht="18" thickBot="1" x14ac:dyDescent="0.25">
      <c r="A6" s="9" t="s">
        <v>166</v>
      </c>
      <c r="B6" s="9" t="s">
        <v>163</v>
      </c>
      <c r="C6" s="10">
        <v>150</v>
      </c>
      <c r="D6" s="19" t="str" cm="1">
        <f t="array" ref="D6">_xlfn.SWITCH(TRUE, C6 &gt; 600, "High", C6 &gt;= 300, "Medium", "Low")</f>
        <v>Low</v>
      </c>
    </row>
    <row r="7" spans="1:4" ht="18" thickBot="1" x14ac:dyDescent="0.25">
      <c r="A7" s="9" t="s">
        <v>166</v>
      </c>
      <c r="B7" s="9" t="s">
        <v>162</v>
      </c>
      <c r="C7" s="10">
        <v>600</v>
      </c>
      <c r="D7" s="19" t="str" cm="1">
        <f t="array" ref="D7">_xlfn.SWITCH(TRUE, C7 &gt; 600, "High", C7 &gt;= 300, "Medium", "Low")</f>
        <v>Medium</v>
      </c>
    </row>
    <row r="8" spans="1:4" ht="18" thickBot="1" x14ac:dyDescent="0.25">
      <c r="A8" s="9" t="s">
        <v>167</v>
      </c>
      <c r="B8" s="9" t="s">
        <v>165</v>
      </c>
      <c r="C8" s="10">
        <v>800</v>
      </c>
      <c r="D8" s="19" t="str" cm="1">
        <f t="array" ref="D8">_xlfn.SWITCH(TRUE, C8 &gt; 600, "High", C8 &gt;= 300, "Medium", "Low")</f>
        <v>High</v>
      </c>
    </row>
    <row r="9" spans="1:4" ht="18" thickBot="1" x14ac:dyDescent="0.25">
      <c r="A9" s="9" t="s">
        <v>167</v>
      </c>
      <c r="B9" s="9" t="s">
        <v>163</v>
      </c>
      <c r="C9" s="10">
        <v>300</v>
      </c>
      <c r="D9" s="19" t="str" cm="1">
        <f t="array" ref="D9">_xlfn.SWITCH(TRUE, C9 &gt; 600, "High", C9 &gt;= 300, "Medium", "Low")</f>
        <v>Medium</v>
      </c>
    </row>
    <row r="10" spans="1:4" ht="18" thickBot="1" x14ac:dyDescent="0.25">
      <c r="A10" s="9" t="s">
        <v>168</v>
      </c>
      <c r="B10" s="9" t="s">
        <v>162</v>
      </c>
      <c r="C10" s="10">
        <v>250</v>
      </c>
      <c r="D10" s="19" t="str" cm="1">
        <f t="array" ref="D10">_xlfn.SWITCH(TRUE, C10 &gt; 600, "High", C10 &gt;= 300, "Medium", "Low")</f>
        <v>Low</v>
      </c>
    </row>
    <row r="11" spans="1:4" ht="18" thickBot="1" x14ac:dyDescent="0.25">
      <c r="A11" s="9" t="s">
        <v>168</v>
      </c>
      <c r="B11" s="9" t="s">
        <v>165</v>
      </c>
      <c r="C11" s="10">
        <v>300</v>
      </c>
      <c r="D11" s="19" t="str" cm="1">
        <f t="array" ref="D11">_xlfn.SWITCH(TRUE, C11 &gt; 600, "High", C11 &gt;= 300, "Medium", "Low")</f>
        <v>Medium</v>
      </c>
    </row>
    <row r="12" spans="1:4" ht="35" thickBot="1" x14ac:dyDescent="0.25">
      <c r="A12" s="9" t="s">
        <v>169</v>
      </c>
      <c r="B12" s="9" t="s">
        <v>163</v>
      </c>
      <c r="C12" s="10">
        <v>600</v>
      </c>
      <c r="D12" s="19" t="str" cm="1">
        <f t="array" ref="D12">_xlfn.SWITCH(TRUE, C12 &gt; 600, "High", C12 &gt;= 300, "Medium", "Low")</f>
        <v>Medium</v>
      </c>
    </row>
    <row r="13" spans="1:4" ht="34" x14ac:dyDescent="0.2">
      <c r="A13" s="13" t="s">
        <v>169</v>
      </c>
      <c r="B13" s="13" t="s">
        <v>162</v>
      </c>
      <c r="C13" s="14">
        <v>400</v>
      </c>
      <c r="D13" s="19" t="str" cm="1">
        <f t="array" ref="D13">_xlfn.SWITCH(TRUE, C13 &gt; 600, "High", C13 &gt;= 300, "Medium", "Low")</f>
        <v>Medium</v>
      </c>
    </row>
    <row r="16" spans="1:4" x14ac:dyDescent="0.2">
      <c r="A16" s="16" t="s">
        <v>173</v>
      </c>
      <c r="B16" s="16" t="s">
        <v>172</v>
      </c>
    </row>
    <row r="17" spans="1:5" x14ac:dyDescent="0.2">
      <c r="A17" s="16" t="s">
        <v>170</v>
      </c>
      <c r="B17" t="s">
        <v>162</v>
      </c>
      <c r="C17" t="s">
        <v>165</v>
      </c>
      <c r="D17" t="s">
        <v>163</v>
      </c>
      <c r="E17" t="s">
        <v>171</v>
      </c>
    </row>
    <row r="18" spans="1:5" x14ac:dyDescent="0.2">
      <c r="A18" s="8" t="s">
        <v>164</v>
      </c>
      <c r="B18" s="17">
        <v>700</v>
      </c>
      <c r="C18" s="17">
        <v>400</v>
      </c>
      <c r="D18" s="17">
        <v>0</v>
      </c>
      <c r="E18" s="17">
        <v>1100</v>
      </c>
    </row>
    <row r="19" spans="1:5" x14ac:dyDescent="0.2">
      <c r="A19" s="8" t="s">
        <v>168</v>
      </c>
      <c r="B19" s="17">
        <v>250</v>
      </c>
      <c r="C19" s="17">
        <v>300</v>
      </c>
      <c r="D19" s="17">
        <v>0</v>
      </c>
      <c r="E19" s="17">
        <v>550</v>
      </c>
    </row>
    <row r="20" spans="1:5" x14ac:dyDescent="0.2">
      <c r="A20" s="8" t="s">
        <v>167</v>
      </c>
      <c r="B20" s="17">
        <v>0</v>
      </c>
      <c r="C20" s="17">
        <v>800</v>
      </c>
      <c r="D20" s="17">
        <v>300</v>
      </c>
      <c r="E20" s="17">
        <v>1100</v>
      </c>
    </row>
    <row r="21" spans="1:5" x14ac:dyDescent="0.2">
      <c r="A21" s="8" t="s">
        <v>169</v>
      </c>
      <c r="B21" s="17">
        <v>400</v>
      </c>
      <c r="C21" s="17">
        <v>0</v>
      </c>
      <c r="D21" s="17">
        <v>600</v>
      </c>
      <c r="E21" s="17">
        <v>1000</v>
      </c>
    </row>
    <row r="22" spans="1:5" x14ac:dyDescent="0.2">
      <c r="A22" s="8" t="s">
        <v>166</v>
      </c>
      <c r="B22" s="17">
        <v>600</v>
      </c>
      <c r="C22" s="17">
        <v>0</v>
      </c>
      <c r="D22" s="17">
        <v>150</v>
      </c>
      <c r="E22" s="17">
        <v>750</v>
      </c>
    </row>
    <row r="23" spans="1:5" x14ac:dyDescent="0.2">
      <c r="A23" s="8" t="s">
        <v>161</v>
      </c>
      <c r="B23" s="17">
        <v>500</v>
      </c>
      <c r="C23" s="17">
        <v>0</v>
      </c>
      <c r="D23" s="17">
        <v>200</v>
      </c>
      <c r="E23" s="17">
        <v>700</v>
      </c>
    </row>
    <row r="24" spans="1:5" x14ac:dyDescent="0.2">
      <c r="A24" s="8" t="s">
        <v>171</v>
      </c>
      <c r="B24" s="17">
        <v>2450</v>
      </c>
      <c r="C24" s="17">
        <v>1500</v>
      </c>
      <c r="D24" s="17">
        <v>1250</v>
      </c>
      <c r="E24" s="17">
        <v>5200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78E7A3-2510-4C53-8BEC-FC7EE7935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27d6d-aa4d-4523-9ddf-63e08551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c63d42bb-5884-4f3c-912b-8a87a404e626"/>
    <ds:schemaRef ds:uri="873c9e09-4edd-4e31-b833-4e395efa7605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 Sales</vt:lpstr>
      <vt:lpstr>Sheet1</vt:lpstr>
      <vt:lpstr>SWITCH etc.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Tara Brazier</cp:lastModifiedBy>
  <cp:revision/>
  <dcterms:created xsi:type="dcterms:W3CDTF">2022-11-04T20:14:11Z</dcterms:created>
  <dcterms:modified xsi:type="dcterms:W3CDTF">2026-07-16T15:27:47Z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