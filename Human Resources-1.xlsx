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A997B320-A2BC-CF48-9E56-0AA44987A3CB}" xr6:coauthVersionLast="47" xr6:coauthVersionMax="47" xr10:uidLastSave="{00000000-0000-0000-0000-000000000000}"/>
  <workbookProtection workbookAlgorithmName="SHA-512" workbookHashValue="VwTiBYqvGSckI7J9D3qh2c6+VhdfOZKAd0E2K0kYZ0yFOXcrFIwa74FzZy4lcpYP6fX8aIwU0WetdtqTNpBRSA==" workbookSaltValue="vzA2h6T/6DmcDXL8sRJsrg==" workbookSpinCount="100000" lockStructure="1"/>
  <bookViews>
    <workbookView xWindow="0" yWindow="1660" windowWidth="28800" windowHeight="1572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3" l="1"/>
  <c r="N14" i="3"/>
  <c r="N12" i="3"/>
  <c r="M13" i="3"/>
  <c r="M14" i="3"/>
  <c r="M12" i="3"/>
  <c r="N10" i="3"/>
  <c r="M10" i="3"/>
  <c r="N9" i="3"/>
  <c r="M9" i="3"/>
  <c r="N8" i="3"/>
  <c r="N11" i="3" s="1"/>
  <c r="M8" i="3"/>
  <c r="M11" i="3" s="1"/>
  <c r="H22" i="3"/>
  <c r="G22" i="3"/>
  <c r="F22" i="3"/>
  <c r="I22" i="3" s="1"/>
  <c r="H21" i="3"/>
  <c r="G21" i="3"/>
  <c r="F21" i="3"/>
  <c r="I21" i="3" s="1"/>
  <c r="B19" i="2"/>
  <c r="B17" i="2"/>
  <c r="C9" i="2"/>
  <c r="D9" i="2"/>
  <c r="E9" i="2"/>
  <c r="F9" i="2"/>
  <c r="G9" i="2"/>
  <c r="H9" i="2"/>
  <c r="I9" i="2"/>
  <c r="J9" i="2"/>
  <c r="K9" i="2"/>
  <c r="L9" i="2"/>
  <c r="M9" i="2"/>
  <c r="N9" i="2"/>
  <c r="O9" i="2"/>
  <c r="B9" i="2"/>
  <c r="C18" i="3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N19" i="2" l="1"/>
  <c r="L19" i="2"/>
  <c r="J19" i="2"/>
  <c r="H19" i="2"/>
  <c r="F19" i="2"/>
  <c r="D19" i="2"/>
  <c r="O19" i="2"/>
  <c r="M19" i="2"/>
  <c r="K19" i="2"/>
  <c r="I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3" i="2" s="1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K23" i="2" l="1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<sst xmlns="http://schemas.openxmlformats.org/spreadsheetml/2006/main" count="109" uniqueCount="44">
  <si>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</si>
  <si>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</si>
  <si>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</si>
  <si>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</si>
  <si>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</si>
  <si>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</si>
  <si>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</si>
  <si>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</si>
  <si>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</si>
  <si>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</si>
  <si>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</si>
  <si>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</si>
  <si>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</si>
  <si>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</si>
  <si>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</si>
  <si>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</si>
  <si>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</si>
  <si>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</si>
  <si>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</si>
  <si>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</si>
  <si>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</si>
  <si>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</si>
  <si>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</si>
  <si>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</si>
  <si>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</si>
  <si>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</si>
  <si>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</si>
  <si>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</si>
  <si>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</si>
  <si>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</si>
  <si>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</si>
  <si>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</si>
  <si>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</si>
  <si>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</si>
  <si>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</si>
  <si>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</si>
  <si>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</si>
  <si>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</si>
  <si>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</si>
  <si>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</si>
  <si>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</si>
  <si>
    <t>Average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</si>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</sst>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</cellStyleXfs>
  <cellXfs count="20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165" fontId="0" fillId="0" borderId="0" xfId="0" applyNumberFormat="1"/>
  </cellXfs>
  <cellStyles count="9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Q23" sqref="Q23"/>
    </sheetView>
  </sheetViews>
  <sheetFormatPr baseColWidth="10" defaultColWidth="8.83203125" defaultRowHeight="15" x14ac:dyDescent="0.2"/>
  <cols>
    <col min="1" max="1" width="16.83203125" customWidth="1"/>
    <col min="2" max="15" width="7.6640625" customWidth="1"/>
  </cols>
  <sheetData>
    <row r="1" spans="1:16" ht="24" x14ac:dyDescent="0.3">
      <c r="A1" s="1"/>
    </row>
    <row r="2" spans="1:16" ht="9.75" customHeight="1" x14ac:dyDescent="0.2"/>
    <row r="3" spans="1:16" ht="20" x14ac:dyDescent="0.25">
      <c r="A3" s="9" t="s">
        <v>0</v>
      </c>
      <c r="B3" s="9"/>
    </row>
    <row r="4" spans="1:16" x14ac:dyDescent="0.2">
      <c r="A4" s="2" t="s">
        <v>1</v>
      </c>
      <c r="B4" s="10">
        <v>0.32</v>
      </c>
    </row>
    <row r="5" spans="1:16" x14ac:dyDescent="0.2">
      <c r="A5" s="2" t="s">
        <v>2</v>
      </c>
      <c r="B5" s="10">
        <v>0.08</v>
      </c>
    </row>
    <row r="6" spans="1:16" x14ac:dyDescent="0.2">
      <c r="A6" s="2" t="s">
        <v>3</v>
      </c>
      <c r="B6" s="10">
        <v>0.05</v>
      </c>
    </row>
    <row r="7" spans="1:16" ht="6.75" customHeight="1" x14ac:dyDescent="0.2"/>
    <row r="8" spans="1:16" ht="96.75" customHeight="1" x14ac:dyDescent="0.2">
      <c r="A8" s="16"/>
      <c r="B8" s="17" t="s">
        <v>4</v>
      </c>
      <c r="C8" s="17" t="s">
        <v>5</v>
      </c>
      <c r="D8" s="17" t="s">
        <v>6</v>
      </c>
      <c r="E8" s="17" t="s">
        <v>7</v>
      </c>
      <c r="F8" s="17" t="s">
        <v>8</v>
      </c>
      <c r="G8" s="17" t="s">
        <v>9</v>
      </c>
      <c r="H8" s="17" t="s">
        <v>10</v>
      </c>
      <c r="I8" s="17" t="s">
        <v>11</v>
      </c>
      <c r="J8" s="17" t="s">
        <v>12</v>
      </c>
      <c r="K8" s="17" t="s">
        <v>13</v>
      </c>
      <c r="L8" s="17" t="s">
        <v>14</v>
      </c>
      <c r="M8" s="17" t="s">
        <v>15</v>
      </c>
      <c r="N8" s="17" t="s">
        <v>16</v>
      </c>
      <c r="O8" s="17" t="s">
        <v>17</v>
      </c>
      <c r="P8" s="15"/>
    </row>
    <row r="9" spans="1:16" x14ac:dyDescent="0.2">
      <c r="A9" s="5" t="s">
        <v>18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 x14ac:dyDescent="0.2"/>
    <row r="11" spans="1:16" ht="15.75" customHeight="1" x14ac:dyDescent="0.2">
      <c r="A11" s="2" t="s">
        <v>19</v>
      </c>
    </row>
    <row r="12" spans="1:16" x14ac:dyDescent="0.2">
      <c r="A12" t="s">
        <v>20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 x14ac:dyDescent="0.2">
      <c r="A13" t="s">
        <v>21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 x14ac:dyDescent="0.2">
      <c r="A14" t="s">
        <v>22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 x14ac:dyDescent="0.2">
      <c r="A15" t="s">
        <v>23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 x14ac:dyDescent="0.2">
      <c r="A16" t="s">
        <v>24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5" ht="16" thickBot="1" x14ac:dyDescent="0.25">
      <c r="A17" s="7" t="s">
        <v>25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5" ht="16" thickTop="1" x14ac:dyDescent="0.2"/>
    <row r="19" spans="1:15" x14ac:dyDescent="0.2">
      <c r="A19" t="s">
        <v>26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5" x14ac:dyDescent="0.2">
      <c r="A20" t="s">
        <v>1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5" x14ac:dyDescent="0.2">
      <c r="A21" t="s">
        <v>2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5" x14ac:dyDescent="0.2">
      <c r="A22" t="s">
        <v>3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5" ht="16" thickBot="1" x14ac:dyDescent="0.25">
      <c r="A23" s="7" t="s">
        <v>27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</row>
    <row r="24" spans="1:15" ht="16" thickTop="1" x14ac:dyDescent="0.2">
      <c r="B24" s="11"/>
    </row>
    <row r="25" spans="1:15" x14ac:dyDescent="0.2">
      <c r="A25" s="13"/>
      <c r="B25" s="14"/>
    </row>
  </sheetData>
  <sheetProtection algorithmName="SHA-512" hashValue="jUcRqRXAQG1kx3DKUVJJY/XrL0AOYsEZOhpbLpnEzJa87Zs3FAPuYkLKKNgv7SaiuhoH1pkBV8RK/2T/rH6Jfg==" saltValue="5WAhFFY8hlTYH+c9GoKQ9g==" spinCount="100000" sheet="1" scenarios="1" selectLockedCells="1" selectUnlockedCells="1"/>
  <protectedRanges>
    <protectedRange algorithmName="SHA-512" hashValue="T/+7fs+o/b/EFILaIiMOz9Raa3YOe/hfeWxtO9634j1mfbDx7JltlHAVROOdeEhQJ/uIUF0VHtT/0d5y/waNRw==" saltValue="mc48tO2/Y+hmzy8Eq4GEVw==" spinCount="100000" sqref="B4:B6 B9:O9 B12:O12" name="Human Resources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abSelected="1" workbookViewId="0">
      <selection activeCell="M21" sqref="M21"/>
    </sheetView>
  </sheetViews>
  <sheetFormatPr baseColWidth="10" defaultColWidth="8.83203125" defaultRowHeight="15" x14ac:dyDescent="0.2"/>
  <cols>
    <col min="1" max="1" width="19.1640625" customWidth="1"/>
    <col min="2" max="2" width="9" customWidth="1"/>
    <col min="3" max="3" width="10.5" customWidth="1"/>
    <col min="4" max="4" width="15.5" customWidth="1"/>
  </cols>
  <sheetData>
    <row r="1" spans="1:14" ht="24" x14ac:dyDescent="0.3">
      <c r="A1" s="1" t="s">
        <v>28</v>
      </c>
    </row>
    <row r="3" spans="1:14" ht="18" thickBot="1" x14ac:dyDescent="0.25">
      <c r="A3" s="4" t="s">
        <v>29</v>
      </c>
      <c r="B3" s="4" t="s">
        <v>30</v>
      </c>
      <c r="C3" s="4" t="s">
        <v>31</v>
      </c>
      <c r="D3" s="4" t="s">
        <v>32</v>
      </c>
    </row>
    <row r="4" spans="1:14" ht="16" thickTop="1" x14ac:dyDescent="0.2">
      <c r="A4" t="s">
        <v>4</v>
      </c>
      <c r="B4" t="s">
        <v>33</v>
      </c>
      <c r="C4" s="6">
        <v>37864</v>
      </c>
      <c r="D4" t="s">
        <v>34</v>
      </c>
    </row>
    <row r="5" spans="1:14" x14ac:dyDescent="0.2">
      <c r="A5" t="s">
        <v>5</v>
      </c>
      <c r="B5" t="s">
        <v>33</v>
      </c>
      <c r="C5" s="6">
        <v>26148</v>
      </c>
      <c r="D5" t="s">
        <v>35</v>
      </c>
    </row>
    <row r="6" spans="1:14" x14ac:dyDescent="0.2">
      <c r="A6" t="s">
        <v>6</v>
      </c>
      <c r="B6" t="s">
        <v>36</v>
      </c>
      <c r="C6" s="6">
        <v>26345</v>
      </c>
      <c r="D6" t="s">
        <v>37</v>
      </c>
    </row>
    <row r="7" spans="1:14" ht="16" thickBot="1" x14ac:dyDescent="0.25">
      <c r="A7" t="s">
        <v>7</v>
      </c>
      <c r="B7" t="s">
        <v>36</v>
      </c>
      <c r="C7" s="6">
        <v>23562</v>
      </c>
      <c r="D7" t="s">
        <v>34</v>
      </c>
      <c r="L7" s="3" t="s">
        <v>32</v>
      </c>
      <c r="M7" s="3" t="s">
        <v>31</v>
      </c>
      <c r="N7" s="3" t="s">
        <v>38</v>
      </c>
    </row>
    <row r="8" spans="1:14" x14ac:dyDescent="0.2">
      <c r="A8" t="s">
        <v>8</v>
      </c>
      <c r="B8" t="s">
        <v>33</v>
      </c>
      <c r="C8" s="6">
        <v>19888</v>
      </c>
      <c r="D8" t="s">
        <v>37</v>
      </c>
      <c r="L8" t="s">
        <v>34</v>
      </c>
      <c r="M8" s="6">
        <f>SUMIF($D$4:$D$17,L8,$C$4:$C$17)</f>
        <v>179898</v>
      </c>
      <c r="N8">
        <f>COUNTIF($D$4:$D$17,L8)</f>
        <v>6</v>
      </c>
    </row>
    <row r="9" spans="1:14" x14ac:dyDescent="0.2">
      <c r="A9" t="s">
        <v>9</v>
      </c>
      <c r="B9" t="s">
        <v>33</v>
      </c>
      <c r="C9" s="6">
        <v>32918</v>
      </c>
      <c r="D9" t="s">
        <v>35</v>
      </c>
      <c r="L9" t="s">
        <v>35</v>
      </c>
      <c r="M9" s="6">
        <f t="shared" ref="M9:M10" si="0">SUMIF($D$4:$D$17,L9,$C$4:$C$17)</f>
        <v>137557</v>
      </c>
      <c r="N9">
        <f t="shared" ref="N9:N10" si="1">COUNTIF($D$4:$D$17,L9)</f>
        <v>5</v>
      </c>
    </row>
    <row r="10" spans="1:14" x14ac:dyDescent="0.2">
      <c r="A10" t="s">
        <v>10</v>
      </c>
      <c r="B10" t="s">
        <v>33</v>
      </c>
      <c r="C10" s="6">
        <v>18931</v>
      </c>
      <c r="D10" t="s">
        <v>34</v>
      </c>
      <c r="L10" t="s">
        <v>37</v>
      </c>
      <c r="M10" s="6">
        <f t="shared" si="0"/>
        <v>73601</v>
      </c>
      <c r="N10">
        <f t="shared" si="1"/>
        <v>3</v>
      </c>
    </row>
    <row r="11" spans="1:14" ht="16" thickBot="1" x14ac:dyDescent="0.25">
      <c r="A11" t="s">
        <v>11</v>
      </c>
      <c r="B11" t="s">
        <v>33</v>
      </c>
      <c r="C11" s="6">
        <v>32829</v>
      </c>
      <c r="D11" t="s">
        <v>34</v>
      </c>
      <c r="L11" s="7" t="s">
        <v>39</v>
      </c>
      <c r="M11" s="8">
        <f>SUM(M8:M10)</f>
        <v>391056</v>
      </c>
      <c r="N11" s="8">
        <f>SUM(N8:N10)</f>
        <v>14</v>
      </c>
    </row>
    <row r="12" spans="1:14" ht="16" thickTop="1" x14ac:dyDescent="0.2">
      <c r="A12" t="s">
        <v>12</v>
      </c>
      <c r="B12" t="s">
        <v>33</v>
      </c>
      <c r="C12" s="6">
        <v>38296</v>
      </c>
      <c r="D12" t="s">
        <v>35</v>
      </c>
      <c r="L12" t="s">
        <v>41</v>
      </c>
      <c r="M12" s="19">
        <f>AVERAGE(M8:M10)</f>
        <v>130352</v>
      </c>
      <c r="N12" s="19">
        <f>AVERAGE(N8:N10)</f>
        <v>4.666666666666667</v>
      </c>
    </row>
    <row r="13" spans="1:14" x14ac:dyDescent="0.2">
      <c r="A13" t="s">
        <v>13</v>
      </c>
      <c r="B13" t="s">
        <v>36</v>
      </c>
      <c r="C13" s="6">
        <v>28554</v>
      </c>
      <c r="D13" t="s">
        <v>34</v>
      </c>
      <c r="L13" t="s">
        <v>42</v>
      </c>
      <c r="M13" s="19">
        <f t="shared" ref="M13:N13" si="2">AVERAGE(M9:M11)</f>
        <v>200738</v>
      </c>
      <c r="N13" s="19">
        <f>MAX(N8:N10)</f>
        <v>6</v>
      </c>
    </row>
    <row r="14" spans="1:14" x14ac:dyDescent="0.2">
      <c r="A14" t="s">
        <v>14</v>
      </c>
      <c r="B14" t="s">
        <v>33</v>
      </c>
      <c r="C14" s="6">
        <v>27368</v>
      </c>
      <c r="D14" t="s">
        <v>37</v>
      </c>
      <c r="L14" t="s">
        <v>43</v>
      </c>
      <c r="M14" s="19">
        <f t="shared" ref="M14:N14" si="3">AVERAGE(M10:M12)</f>
        <v>198336.33333333334</v>
      </c>
      <c r="N14" s="19">
        <f>MIN(N8:N10)</f>
        <v>3</v>
      </c>
    </row>
    <row r="15" spans="1:14" x14ac:dyDescent="0.2">
      <c r="A15" t="s">
        <v>15</v>
      </c>
      <c r="B15" t="s">
        <v>36</v>
      </c>
      <c r="C15" s="6">
        <v>20850</v>
      </c>
      <c r="D15" t="s">
        <v>35</v>
      </c>
    </row>
    <row r="16" spans="1:14" x14ac:dyDescent="0.2">
      <c r="A16" t="s">
        <v>16</v>
      </c>
      <c r="B16" t="s">
        <v>33</v>
      </c>
      <c r="C16" s="6">
        <v>19345</v>
      </c>
      <c r="D16" t="s">
        <v>35</v>
      </c>
    </row>
    <row r="17" spans="1:9" x14ac:dyDescent="0.2">
      <c r="A17" t="s">
        <v>17</v>
      </c>
      <c r="B17" t="s">
        <v>36</v>
      </c>
      <c r="C17" s="6">
        <v>38158</v>
      </c>
      <c r="D17" t="s">
        <v>34</v>
      </c>
    </row>
    <row r="18" spans="1:9" ht="16" thickBot="1" x14ac:dyDescent="0.25">
      <c r="A18" s="7" t="s">
        <v>25</v>
      </c>
      <c r="B18" s="7"/>
      <c r="C18" s="8">
        <f>SUM(C4:C17)</f>
        <v>391056</v>
      </c>
      <c r="D18" s="7"/>
    </row>
    <row r="19" spans="1:9" ht="16" thickTop="1" x14ac:dyDescent="0.2"/>
    <row r="20" spans="1:9" ht="16" thickBot="1" x14ac:dyDescent="0.25">
      <c r="A20" s="3" t="s">
        <v>32</v>
      </c>
      <c r="B20" s="3" t="s">
        <v>31</v>
      </c>
      <c r="C20" s="3" t="s">
        <v>38</v>
      </c>
      <c r="E20" s="3" t="s">
        <v>32</v>
      </c>
      <c r="F20" t="s">
        <v>34</v>
      </c>
      <c r="G20" t="s">
        <v>35</v>
      </c>
      <c r="H20" t="s">
        <v>37</v>
      </c>
      <c r="I20" s="7" t="s">
        <v>39</v>
      </c>
    </row>
    <row r="21" spans="1:9" ht="16" thickBot="1" x14ac:dyDescent="0.25">
      <c r="A21" t="s">
        <v>34</v>
      </c>
      <c r="B21" s="6">
        <f>SUMIF($D$4:$D$17,A21,$C$4:$C$17)</f>
        <v>179898</v>
      </c>
      <c r="C21">
        <f>COUNTIF($D$4:$D$17,A21)</f>
        <v>6</v>
      </c>
      <c r="E21" s="3" t="s">
        <v>31</v>
      </c>
      <c r="F21" s="6">
        <f>SUMIF($D$4:$D$17,F20,$C$4:$C$17)</f>
        <v>179898</v>
      </c>
      <c r="G21" s="6">
        <f>SUMIF($D$4:$D$17,G20,$C$4:$C$17)</f>
        <v>137557</v>
      </c>
      <c r="H21" s="6">
        <f>SUMIF($D$4:$D$17,H20,$C$4:$C$17)</f>
        <v>73601</v>
      </c>
      <c r="I21" s="8">
        <f>SUM(F21:H21)</f>
        <v>391056</v>
      </c>
    </row>
    <row r="22" spans="1:9" ht="16" thickBot="1" x14ac:dyDescent="0.25">
      <c r="A22" t="s">
        <v>35</v>
      </c>
      <c r="B22" s="6">
        <f t="shared" ref="B22:B23" si="4">SUMIF($D$4:$D$17,A22,$C$4:$C$17)</f>
        <v>137557</v>
      </c>
      <c r="C22">
        <f t="shared" ref="C22:C23" si="5">COUNTIF($D$4:$D$17,A22)</f>
        <v>5</v>
      </c>
      <c r="E22" s="3" t="s">
        <v>38</v>
      </c>
      <c r="F22">
        <f>COUNTIF($D$4:$D$17,F20)</f>
        <v>6</v>
      </c>
      <c r="G22">
        <f>COUNTIF($D$4:$D$17,G20)</f>
        <v>5</v>
      </c>
      <c r="H22">
        <f>COUNTIF($D$4:$D$17,H20)</f>
        <v>3</v>
      </c>
      <c r="I22" s="8">
        <f>SUM(F22:H22)</f>
        <v>14</v>
      </c>
    </row>
    <row r="23" spans="1:9" x14ac:dyDescent="0.2">
      <c r="A23" t="s">
        <v>37</v>
      </c>
      <c r="B23" s="6">
        <f t="shared" si="4"/>
        <v>73601</v>
      </c>
      <c r="C23">
        <f t="shared" si="5"/>
        <v>3</v>
      </c>
    </row>
    <row r="24" spans="1:9" ht="16" thickBot="1" x14ac:dyDescent="0.25">
      <c r="A24" s="7" t="s">
        <v>39</v>
      </c>
      <c r="B24" s="8">
        <f>SUM(B21:B23)</f>
        <v>391056</v>
      </c>
      <c r="C24" s="8">
        <f>SUM(C21:C23)</f>
        <v>14</v>
      </c>
    </row>
    <row r="25" spans="1:9" ht="16" thickTop="1" x14ac:dyDescent="0.2"/>
    <row r="26" spans="1:9" ht="16" thickBot="1" x14ac:dyDescent="0.25">
      <c r="A26" s="3" t="s">
        <v>40</v>
      </c>
      <c r="B26" s="3" t="s">
        <v>31</v>
      </c>
      <c r="C26" s="3" t="s">
        <v>38</v>
      </c>
    </row>
    <row r="27" spans="1:9" x14ac:dyDescent="0.2">
      <c r="A27" t="s">
        <v>33</v>
      </c>
      <c r="B27" s="6">
        <f>SUMIF($B$4:$B$17,A27,$C$4:$C$17)</f>
        <v>253587</v>
      </c>
      <c r="C27">
        <f>COUNTIF(B4:B17,A27)</f>
        <v>9</v>
      </c>
    </row>
    <row r="28" spans="1:9" x14ac:dyDescent="0.2">
      <c r="A28" t="s">
        <v>36</v>
      </c>
      <c r="B28" s="6">
        <f>SUMIF($B$4:$B$17,A28,$C$4:$C$17)</f>
        <v>137469</v>
      </c>
      <c r="C28">
        <f>COUNTIF(B5:B17,A28)</f>
        <v>5</v>
      </c>
    </row>
    <row r="29" spans="1:9" ht="16" thickBot="1" x14ac:dyDescent="0.25">
      <c r="A29" s="7" t="s">
        <v>39</v>
      </c>
      <c r="B29" s="8">
        <f>SUM(B27:B28)</f>
        <v>391056</v>
      </c>
      <c r="C29" s="8">
        <f>SUM(C27:C28)</f>
        <v>14</v>
      </c>
    </row>
    <row r="30" spans="1:9" ht="16" thickTop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3" ma:contentTypeDescription="Create a new document." ma:contentTypeScope="" ma:versionID="33112951d5288c7d5760a0b618b4d967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a86e55686adacba9d902addc39daa377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>
  <ds:schemaRefs>
    <ds:schemaRef ds:uri="http://schemas.microsoft.com/office/2006/metadata/properties"/>
    <ds:schemaRef ds:uri="http://schemas.microsoft.com/office/infopath/2007/PartnerControls"/>
    <ds:schemaRef ds:uri="d0cd20b0-df63-44e8-932f-fba08f23ea61"/>
    <ds:schemaRef ds:uri="10515296-1bd5-401a-b8a4-ea4dde82f896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C37EE97-2E6B-427C-8A5A-30AC68FFA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b27d6d-aa4d-4523-9ddf-63e085519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Tara Brazier</cp:lastModifiedBy>
  <cp:revision/>
  <dcterms:created xsi:type="dcterms:W3CDTF">2009-08-25T13:44:58Z</dcterms:created>
  <dcterms:modified xsi:type="dcterms:W3CDTF">2026-07-16T15:27:47Z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MediaServiceImageTags">
    <vt:lpwstr/>
  </property>
</Properties>
</file>